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idents" sheetId="1" state="visible" r:id="rId3"/>
    <sheet name="Summary Dashboard" sheetId="2" state="visible" r:id="rId4"/>
  </sheets>
  <definedNames>
    <definedName function="false" hidden="true" localSheetId="0" name="_xlnm._FilterDatabase" vbProcedure="false">Incidents!$A$1:$W$1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<sst xmlns="http://schemas.openxmlformats.org/spreadsheetml/2006/main" count="313" uniqueCount="195">
  <si>
    <t xml:space="preserve">Incident ID</t>
  </si>
  <si>
    <t xml:space="preserve">Title</t>
  </si>
  <si>
    <t xml:space="preserve">Description</t>
  </si>
  <si>
    <t xml:space="preserve">Category</t>
  </si>
  <si>
    <t xml:space="preserve">Priority</t>
  </si>
  <si>
    <t xml:space="preserve">Severity</t>
  </si>
  <si>
    <t xml:space="preserve">Status</t>
  </si>
  <si>
    <t xml:space="preserve">Reported By</t>
  </si>
  <si>
    <t xml:space="preserve">Assigned To</t>
  </si>
  <si>
    <t xml:space="preserve">Department</t>
  </si>
  <si>
    <t xml:space="preserve">Date Reported</t>
  </si>
  <si>
    <t xml:space="preserve">Date Acknowledged</t>
  </si>
  <si>
    <t xml:space="preserve">Date Resolved</t>
  </si>
  <si>
    <t xml:space="preserve">Date Closed</t>
  </si>
  <si>
    <t xml:space="preserve">SLA Target (hrs)</t>
  </si>
  <si>
    <t xml:space="preserve">Resolution Time (hrs)</t>
  </si>
  <si>
    <t xml:space="preserve">SLA Met</t>
  </si>
  <si>
    <t xml:space="preserve">Root Cause</t>
  </si>
  <si>
    <t xml:space="preserve">Affected System</t>
  </si>
  <si>
    <t xml:space="preserve">Impact</t>
  </si>
  <si>
    <t xml:space="preserve">Workaround Applied</t>
  </si>
  <si>
    <t xml:space="preserve">Related Change ID</t>
  </si>
  <si>
    <t xml:space="preserve">Notes</t>
  </si>
  <si>
    <t xml:space="preserve">INC0012847</t>
  </si>
  <si>
    <t xml:space="preserve">Production database connection pool exhausted</t>
  </si>
  <si>
    <t xml:space="preserve">Oracle DB primary instance hit max connection limit of 500, causing transaction timeouts across ERP modules. Multiple business units affected.</t>
  </si>
  <si>
    <t xml:space="preserve">Database</t>
  </si>
  <si>
    <t xml:space="preserve">P1 - Critical</t>
  </si>
  <si>
    <t xml:space="preserve">S1 - Critical</t>
  </si>
  <si>
    <t xml:space="preserve">Closed</t>
  </si>
  <si>
    <t xml:space="preserve">Tom Brennan</t>
  </si>
  <si>
    <t xml:space="preserve">Michael Torres</t>
  </si>
  <si>
    <t xml:space="preserve">IT Operations</t>
  </si>
  <si>
    <t xml:space="preserve">Connection leak in batch processing job deployed in CHG0008821</t>
  </si>
  <si>
    <t xml:space="preserve">Oracle DB Prod</t>
  </si>
  <si>
    <t xml:space="preserve">Critical - Business Down</t>
  </si>
  <si>
    <t xml:space="preserve">Yes</t>
  </si>
  <si>
    <t xml:space="preserve">CHG0008821</t>
  </si>
  <si>
    <t xml:space="preserve">Emergency connection pool increase to 750 applied as interim fix. Permanent patch deployed in CHG0008845.</t>
  </si>
  <si>
    <t xml:space="preserve">INC0012848</t>
  </si>
  <si>
    <t xml:space="preserve">Salesforce SSO login failures - EMEA region</t>
  </si>
  <si>
    <t xml:space="preserve">Users in EMEA unable to authenticate to Salesforce via Okta. SAML assertion validation failing. NA and APAC unaffected.</t>
  </si>
  <si>
    <t xml:space="preserve">Authentication</t>
  </si>
  <si>
    <t xml:space="preserve">S2 - Major</t>
  </si>
  <si>
    <t xml:space="preserve">Priya Sharma</t>
  </si>
  <si>
    <t xml:space="preserve">Fatima Al-Hassan</t>
  </si>
  <si>
    <t xml:space="preserve">Customer Support</t>
  </si>
  <si>
    <t xml:space="preserve">Expired SAML signing certificate on EMEA Okta tenant</t>
  </si>
  <si>
    <t xml:space="preserve">Okta SSO</t>
  </si>
  <si>
    <t xml:space="preserve">High - Major Degradation</t>
  </si>
  <si>
    <t xml:space="preserve">Certificate renewed. Added monitoring alert for cert expiry 30 days prior. 342 users impacted.</t>
  </si>
  <si>
    <t xml:space="preserve">INC0012849</t>
  </si>
  <si>
    <t xml:space="preserve">Intermittent packet loss on WAN link - Chicago office</t>
  </si>
  <si>
    <t xml:space="preserve">Chicago office experiencing 8-12% packet loss on primary WAN circuit. VoIP and video calls severely affected. Failover link operational.</t>
  </si>
  <si>
    <t xml:space="preserve">Network</t>
  </si>
  <si>
    <t xml:space="preserve">P2 - High</t>
  </si>
  <si>
    <t xml:space="preserve">David Kowalski</t>
  </si>
  <si>
    <t xml:space="preserve">Kevin Reeves</t>
  </si>
  <si>
    <t xml:space="preserve">Degraded fiber optic cable segment identified by ISP</t>
  </si>
  <si>
    <t xml:space="preserve">Cisco Meraki WAN</t>
  </si>
  <si>
    <t xml:space="preserve">ISP dispatched technician. Cable splice repaired. Monitoring for 48hrs post-fix.</t>
  </si>
  <si>
    <t xml:space="preserve">INC0012850</t>
  </si>
  <si>
    <t xml:space="preserve">Kubernetes pod CrashLoopBackOff - payment-service</t>
  </si>
  <si>
    <t xml:space="preserve">payment-service pods in production K8s cluster entering CrashLoopBackOff. 3/5 replicas down. Payment processing degraded.</t>
  </si>
  <si>
    <t xml:space="preserve">Application</t>
  </si>
  <si>
    <t xml:space="preserve">Emily Zhang</t>
  </si>
  <si>
    <t xml:space="preserve">Anna Petrova</t>
  </si>
  <si>
    <t xml:space="preserve">Engineering</t>
  </si>
  <si>
    <t xml:space="preserve">OOM kill - memory limit set too low after v2.4.1 deployment increased baseline usage</t>
  </si>
  <si>
    <t xml:space="preserve">Kubernetes Cluster</t>
  </si>
  <si>
    <t xml:space="preserve">CHG0008830</t>
  </si>
  <si>
    <t xml:space="preserve">Rolled back to v2.4.0. Memory limits adjusted. v2.4.1 redeployed with fix in CHG0008852.</t>
  </si>
  <si>
    <t xml:space="preserve">INC0012851</t>
  </si>
  <si>
    <t xml:space="preserve">Exchange Online - delayed email delivery &gt; 45 min</t>
  </si>
  <si>
    <t xml:space="preserve">Multiple users reporting emails stuck in outbound queue. Average delay 45-90 minutes. Affects both internal and external delivery.</t>
  </si>
  <si>
    <t xml:space="preserve">Email/Messaging</t>
  </si>
  <si>
    <t xml:space="preserve">S3 - Moderate</t>
  </si>
  <si>
    <t xml:space="preserve">Sarah Mitchell</t>
  </si>
  <si>
    <t xml:space="preserve">Chris Donovan</t>
  </si>
  <si>
    <t xml:space="preserve">HR</t>
  </si>
  <si>
    <t xml:space="preserve">Microsoft 365 service degradation - EX498712</t>
  </si>
  <si>
    <t xml:space="preserve">Exchange Online</t>
  </si>
  <si>
    <t xml:space="preserve">Medium - Limited Impact</t>
  </si>
  <si>
    <t xml:space="preserve">No</t>
  </si>
  <si>
    <t xml:space="preserve">Microsoft acknowledged issue. Resolved server-side. No action required from our end.</t>
  </si>
  <si>
    <t xml:space="preserve">INC0012852</t>
  </si>
  <si>
    <t xml:space="preserve">AWS EC2 instance unreachable - prod-web-04</t>
  </si>
  <si>
    <t xml:space="preserve">Single EC2 instance in us-east-1a AZ not responding to health checks. Auto-scaling launched replacement. Investigating root cause.</t>
  </si>
  <si>
    <t xml:space="preserve">Cloud Infrastructure</t>
  </si>
  <si>
    <t xml:space="preserve">P3 - Medium</t>
  </si>
  <si>
    <t xml:space="preserve">S4 - Minor</t>
  </si>
  <si>
    <t xml:space="preserve">James Okonkwo</t>
  </si>
  <si>
    <t xml:space="preserve">Derek Washington</t>
  </si>
  <si>
    <t xml:space="preserve">Underlying host hardware failure - AWS replaced host</t>
  </si>
  <si>
    <t xml:space="preserve">AWS us-east-1</t>
  </si>
  <si>
    <t xml:space="preserve">Low - Minimal Impact</t>
  </si>
  <si>
    <t xml:space="preserve">No customer impact due to auto-scaling. Instance terminated and replaced.</t>
  </si>
  <si>
    <t xml:space="preserve">INC0012853</t>
  </si>
  <si>
    <t xml:space="preserve">Palo Alto firewall - false positive blocking API traffic</t>
  </si>
  <si>
    <t xml:space="preserve">Threat Prevention signature ID 58432 incorrectly flagging legitimate REST API calls from partner integration as SQL injection.</t>
  </si>
  <si>
    <t xml:space="preserve">Security</t>
  </si>
  <si>
    <t xml:space="preserve">Carlos Mendez</t>
  </si>
  <si>
    <t xml:space="preserve">Brian Keller</t>
  </si>
  <si>
    <t xml:space="preserve">Overly broad threat signature matching JSON payloads with SQL-like syntax</t>
  </si>
  <si>
    <t xml:space="preserve">Palo Alto Firewall</t>
  </si>
  <si>
    <t xml:space="preserve">Threat exception rule added for partner IP range. Palo Alto support case opened for signature tuning.</t>
  </si>
  <si>
    <t xml:space="preserve">INC0012854</t>
  </si>
  <si>
    <t xml:space="preserve">SAP S/4HANA - month-end closing job ABEND</t>
  </si>
  <si>
    <t xml:space="preserve">FI month-end closing batch job RFFOUS_C terminated with runtime error DBSQL_SQL_ERROR. October close incomplete.</t>
  </si>
  <si>
    <t xml:space="preserve">Lisa Nakamura</t>
  </si>
  <si>
    <t xml:space="preserve">Samantha Liu</t>
  </si>
  <si>
    <t xml:space="preserve">Finance</t>
  </si>
  <si>
    <t xml:space="preserve">Table space exhaustion on BSEG table due to missing archiving run</t>
  </si>
  <si>
    <t xml:space="preserve">ERP - SAP S/4HANA</t>
  </si>
  <si>
    <t xml:space="preserve">CHG0008840</t>
  </si>
  <si>
    <t xml:space="preserve">Emergency table space extension. Archiving job rescheduled. Month-end close completed by 04:30.</t>
  </si>
  <si>
    <t xml:space="preserve">INC0012855</t>
  </si>
  <si>
    <t xml:space="preserve">Snowflake query performance degradation</t>
  </si>
  <si>
    <t xml:space="preserve">Complex analytical queries on sales_fact table taking 15x longer than baseline. Virtual warehouse auto-scaling not triggering.</t>
  </si>
  <si>
    <t xml:space="preserve">Robert Fernandez</t>
  </si>
  <si>
    <t xml:space="preserve">Yuki Tanaka</t>
  </si>
  <si>
    <t xml:space="preserve">Sales</t>
  </si>
  <si>
    <t xml:space="preserve">Clustering keys invalidated after large data load. Auto-suspend misconfigured.</t>
  </si>
  <si>
    <t xml:space="preserve">Snowflake DW</t>
  </si>
  <si>
    <t xml:space="preserve">Re-clustered tables. Corrected auto-scaling policy. Query times back to baseline.</t>
  </si>
  <si>
    <t xml:space="preserve">INC0012856</t>
  </si>
  <si>
    <t xml:space="preserve">Jira Cloud - custom workflow transition broken</t>
  </si>
  <si>
    <t xml:space="preserve">Approval workflow for change requests not advancing past 'Review' stage. Automation rule silently failing. 28 CRs stuck.</t>
  </si>
  <si>
    <t xml:space="preserve">Aisha Patel</t>
  </si>
  <si>
    <t xml:space="preserve">Nadia Osei</t>
  </si>
  <si>
    <t xml:space="preserve">Atlassian API rate limit change broke automation rule webhook</t>
  </si>
  <si>
    <t xml:space="preserve">Jira Cloud</t>
  </si>
  <si>
    <t xml:space="preserve">Automation rule updated with retry logic and rate limit handling. Stuck CRs manually advanced.</t>
  </si>
  <si>
    <t xml:space="preserve">INC0012857</t>
  </si>
  <si>
    <t xml:space="preserve">VPN concentrator capacity exceeded - remote workers</t>
  </si>
  <si>
    <t xml:space="preserve">GlobalProtect VPN concurrent session limit reached during all-hands meeting. 150+ users unable to connect.</t>
  </si>
  <si>
    <t xml:space="preserve">Licensed session cap of 500 insufficient for full-company remote events</t>
  </si>
  <si>
    <t xml:space="preserve">Emergency license upgrade applied. Split-tunnel policy enabled for meeting traffic. Capacity planning review scheduled.</t>
  </si>
  <si>
    <t xml:space="preserve">INC0012858</t>
  </si>
  <si>
    <t xml:space="preserve">ServiceNow CMDB sync failure with Azure</t>
  </si>
  <si>
    <t xml:space="preserve">Discovery integration between ServiceNow and Azure subscription stopped syncing. 1,200+ CIs stale for 72hrs.</t>
  </si>
  <si>
    <t xml:space="preserve">Resolved</t>
  </si>
  <si>
    <t xml:space="preserve">Azure service principal secret expired</t>
  </si>
  <si>
    <t xml:space="preserve">ServiceNow ITSM</t>
  </si>
  <si>
    <t xml:space="preserve">CHG0008860</t>
  </si>
  <si>
    <t xml:space="preserve">Secret rotated. Automated rotation policy implemented via Key Vault. Monitoring added.</t>
  </si>
  <si>
    <t xml:space="preserve">INC0012859</t>
  </si>
  <si>
    <t xml:space="preserve">Slack Enterprise Grid - file upload failures</t>
  </si>
  <si>
    <t xml:space="preserve">Users across multiple workspaces unable to upload files &gt; 5MB. Error: 'upload_failed_generic'. Slack status page shows no issues.</t>
  </si>
  <si>
    <t xml:space="preserve">Marketing</t>
  </si>
  <si>
    <t xml:space="preserve">Proxy server content inspection rule blocking multipart uploads above threshold</t>
  </si>
  <si>
    <t xml:space="preserve">Slack Enterprise</t>
  </si>
  <si>
    <t xml:space="preserve">Proxy rule adjusted to whitelist Slack file upload endpoints. Monitoring for recurrence.</t>
  </si>
  <si>
    <t xml:space="preserve">INC0012860</t>
  </si>
  <si>
    <t xml:space="preserve">AD / Entra ID - group policy not applying to new devices</t>
  </si>
  <si>
    <t xml:space="preserve">Newly enrolled Windows devices not receiving Intune compliance policies. Conditional Access blocking access to M365 apps.</t>
  </si>
  <si>
    <t xml:space="preserve">In Progress</t>
  </si>
  <si>
    <t xml:space="preserve">AD / Entra ID</t>
  </si>
  <si>
    <t xml:space="preserve">CHG0008865</t>
  </si>
  <si>
    <t xml:space="preserve">Workaround: manual policy assignment. Investigating Autopilot profile assignment conflict.</t>
  </si>
  <si>
    <t xml:space="preserve">INC0012861</t>
  </si>
  <si>
    <t xml:space="preserve">CRM data sync latency - Salesforce to Snowflake</t>
  </si>
  <si>
    <t xml:space="preserve">ETL pipeline from Salesforce to Snowflake running 6hrs behind schedule. Sales dashboards showing stale data.</t>
  </si>
  <si>
    <t xml:space="preserve">CRM - Salesforce</t>
  </si>
  <si>
    <t xml:space="preserve">Investigating Salesforce bulk API rate limits. Possible schema change in last SF release.</t>
  </si>
  <si>
    <t xml:space="preserve">INC0012862</t>
  </si>
  <si>
    <t xml:space="preserve">Laptop BSOD - Finance department (multiple devices)</t>
  </si>
  <si>
    <t xml:space="preserve">5 laptops in Finance dept experiencing BSOD with DRIVER_IRQL_NOT_LESS_OR_EQUAL after Tuesday patch deployment.</t>
  </si>
  <si>
    <t xml:space="preserve">Hardware</t>
  </si>
  <si>
    <t xml:space="preserve">Open</t>
  </si>
  <si>
    <t xml:space="preserve">CHG0008870</t>
  </si>
  <si>
    <t xml:space="preserve">Suspected conflict between KB5044380 and Dell docking station driver. Collecting dump files.</t>
  </si>
  <si>
    <t xml:space="preserve">INC0012863</t>
  </si>
  <si>
    <t xml:space="preserve">Azure DevOps pipeline failures - main branch</t>
  </si>
  <si>
    <t xml:space="preserve">CI/CD pipelines for 3 microservices failing on main branch. Build agent pool saturated, queued jobs timing out.</t>
  </si>
  <si>
    <t xml:space="preserve">Azure DevOps</t>
  </si>
  <si>
    <t xml:space="preserve">Temporary scale-up of build agent pool requested. Investigating why self-hosted agents went offline.</t>
  </si>
  <si>
    <t xml:space="preserve">Incident Summary Dashboard</t>
  </si>
  <si>
    <t xml:space="preserve">Metric</t>
  </si>
  <si>
    <t xml:space="preserve">Value</t>
  </si>
  <si>
    <t xml:space="preserve">Count</t>
  </si>
  <si>
    <t xml:space="preserve">Total Incidents</t>
  </si>
  <si>
    <t xml:space="preserve">Avg Resolution Time (hrs)</t>
  </si>
  <si>
    <t xml:space="preserve">SLA Compliance Rate</t>
  </si>
  <si>
    <t xml:space="preserve">Export Information</t>
  </si>
  <si>
    <t xml:space="preserve">Exported From</t>
  </si>
  <si>
    <t xml:space="preserve">ServiceNow ITSM v2024.2.1</t>
  </si>
  <si>
    <t xml:space="preserve">Export Date</t>
  </si>
  <si>
    <t xml:space="preserve">2026-03-10 00:06:04</t>
  </si>
  <si>
    <t xml:space="preserve">Exported By</t>
  </si>
  <si>
    <t xml:space="preserve">sys_admin@acmecorp.com</t>
  </si>
  <si>
    <t xml:space="preserve">Environment</t>
  </si>
  <si>
    <t xml:space="preserve">Production</t>
  </si>
  <si>
    <t xml:space="preserve">Tenant</t>
  </si>
  <si>
    <t xml:space="preserve">ACME Corporation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</si>
</sst>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h:mm"/>
    <numFmt numFmtId="166" formatCode="0.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2F549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2F549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C7CE"/>
        <bgColor rgb="FFD9D9D9"/>
      </patternFill>
    </fill>
    <fill>
      <patternFill patternType="solid">
        <fgColor rgb="FFDDEBF7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52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9" min="8" style="0" width="18"/>
    <col collapsed="false" customWidth="true" hidden="false" outlineLevel="0" max="10" min="10" style="0" width="20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4" min="13" style="0" width="16"/>
    <col collapsed="false" customWidth="true" hidden="false" outlineLevel="0" max="15" min="15" style="0" width="14"/>
    <col collapsed="false" customWidth="true" hidden="false" outlineLevel="0" max="16" min="16" style="0" width="16"/>
    <col collapsed="false" customWidth="true" hidden="false" outlineLevel="0" max="17" min="17" style="0" width="10"/>
    <col collapsed="false" customWidth="true" hidden="false" outlineLevel="0" max="18" min="18" style="0" width="32"/>
    <col collapsed="false" customWidth="true" hidden="false" outlineLevel="0" max="19" min="19" style="0" width="22"/>
    <col collapsed="false" customWidth="true" hidden="false" outlineLevel="0" max="20" min="20" style="0" width="16"/>
    <col collapsed="false" customWidth="true" hidden="false" outlineLevel="0" max="21" min="21" style="0" width="18"/>
    <col collapsed="false" customWidth="true" hidden="false" outlineLevel="0" max="22" min="22" style="0" width="16"/>
    <col collapsed="false" customWidth="true" hidden="false" outlineLevel="0" max="23" min="23" style="0" width="4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45" hidden="false" customHeight="true" outlineLevel="0" collapsed="false">
      <c r="A2" s="2" t="s">
        <v>23</v>
      </c>
      <c r="B2" s="2" t="s">
        <v>24</v>
      </c>
      <c r="C2" s="3" t="s">
        <v>25</v>
      </c>
      <c r="D2" s="2" t="s">
        <v>26</v>
      </c>
      <c r="E2" s="2" t="s">
        <v>27</v>
      </c>
      <c r="F2" s="4" t="s">
        <v>28</v>
      </c>
      <c r="G2" s="5" t="s">
        <v>29</v>
      </c>
      <c r="H2" s="2" t="s">
        <v>30</v>
      </c>
      <c r="I2" s="2" t="s">
        <v>31</v>
      </c>
      <c r="J2" s="2" t="s">
        <v>32</v>
      </c>
      <c r="K2" s="6" t="n">
        <v>45964.2791666667</v>
      </c>
      <c r="L2" s="6" t="n">
        <v>45964.2833333333</v>
      </c>
      <c r="M2" s="6" t="n">
        <v>45964.3854166667</v>
      </c>
      <c r="N2" s="6" t="n">
        <v>45965.4166666667</v>
      </c>
      <c r="O2" s="2" t="n">
        <v>4</v>
      </c>
      <c r="P2" s="7" t="n">
        <f aca="false">(M2-K2)*24</f>
        <v>2.55</v>
      </c>
      <c r="Q2" s="2" t="str">
        <f aca="false">IF(P2&lt;=O2,"Yes","No")</f>
        <v>Yes</v>
      </c>
      <c r="R2" s="3" t="s">
        <v>33</v>
      </c>
      <c r="S2" s="2" t="s">
        <v>34</v>
      </c>
      <c r="T2" s="2" t="s">
        <v>35</v>
      </c>
      <c r="U2" s="2" t="s">
        <v>36</v>
      </c>
      <c r="V2" s="2" t="s">
        <v>37</v>
      </c>
      <c r="W2" s="3" t="s">
        <v>38</v>
      </c>
    </row>
    <row r="3" customFormat="false" ht="45" hidden="false" customHeight="true" outlineLevel="0" collapsed="false">
      <c r="A3" s="2" t="s">
        <v>39</v>
      </c>
      <c r="B3" s="2" t="s">
        <v>40</v>
      </c>
      <c r="C3" s="3" t="s">
        <v>41</v>
      </c>
      <c r="D3" s="2" t="s">
        <v>42</v>
      </c>
      <c r="E3" s="2" t="s">
        <v>27</v>
      </c>
      <c r="F3" s="8" t="s">
        <v>43</v>
      </c>
      <c r="G3" s="5" t="s">
        <v>29</v>
      </c>
      <c r="H3" s="2" t="s">
        <v>44</v>
      </c>
      <c r="I3" s="2" t="s">
        <v>45</v>
      </c>
      <c r="J3" s="2" t="s">
        <v>46</v>
      </c>
      <c r="K3" s="6" t="n">
        <v>45965.34375</v>
      </c>
      <c r="L3" s="6" t="n">
        <v>45965.3486111111</v>
      </c>
      <c r="M3" s="6" t="n">
        <v>45965.4513888889</v>
      </c>
      <c r="N3" s="6" t="n">
        <v>45966.6041666667</v>
      </c>
      <c r="O3" s="2" t="n">
        <v>4</v>
      </c>
      <c r="P3" s="7" t="n">
        <f aca="false">(M3-K3)*24</f>
        <v>2.58333333333333</v>
      </c>
      <c r="Q3" s="2" t="str">
        <f aca="false">IF(P3&lt;=O3,"Yes","No")</f>
        <v>Yes</v>
      </c>
      <c r="R3" s="3" t="s">
        <v>47</v>
      </c>
      <c r="S3" s="2" t="s">
        <v>48</v>
      </c>
      <c r="T3" s="2" t="s">
        <v>49</v>
      </c>
      <c r="U3" s="2" t="s">
        <v>36</v>
      </c>
      <c r="V3" s="2"/>
      <c r="W3" s="3" t="s">
        <v>50</v>
      </c>
    </row>
    <row r="4" customFormat="false" ht="45" hidden="false" customHeight="true" outlineLevel="0" collapsed="false">
      <c r="A4" s="2" t="s">
        <v>51</v>
      </c>
      <c r="B4" s="2" t="s">
        <v>52</v>
      </c>
      <c r="C4" s="3" t="s">
        <v>53</v>
      </c>
      <c r="D4" s="2" t="s">
        <v>54</v>
      </c>
      <c r="E4" s="2" t="s">
        <v>55</v>
      </c>
      <c r="F4" s="8" t="s">
        <v>43</v>
      </c>
      <c r="G4" s="5" t="s">
        <v>29</v>
      </c>
      <c r="H4" s="2" t="s">
        <v>56</v>
      </c>
      <c r="I4" s="2" t="s">
        <v>57</v>
      </c>
      <c r="J4" s="2" t="s">
        <v>32</v>
      </c>
      <c r="K4" s="6" t="n">
        <v>45966.4791666667</v>
      </c>
      <c r="L4" s="6" t="n">
        <v>45966.4895833333</v>
      </c>
      <c r="M4" s="6" t="n">
        <v>45967.6666666667</v>
      </c>
      <c r="N4" s="6" t="n">
        <v>45968.375</v>
      </c>
      <c r="O4" s="2" t="n">
        <v>8</v>
      </c>
      <c r="P4" s="7" t="n">
        <f aca="false">(M4-K4)*24</f>
        <v>28.5</v>
      </c>
      <c r="Q4" s="2" t="str">
        <f aca="false">IF(P4&lt;=O4,"Yes","No")</f>
        <v>No</v>
      </c>
      <c r="R4" s="3" t="s">
        <v>58</v>
      </c>
      <c r="S4" s="2" t="s">
        <v>59</v>
      </c>
      <c r="T4" s="2" t="s">
        <v>49</v>
      </c>
      <c r="U4" s="2" t="s">
        <v>36</v>
      </c>
      <c r="V4" s="2"/>
      <c r="W4" s="3" t="s">
        <v>60</v>
      </c>
    </row>
    <row r="5" customFormat="false" ht="45" hidden="false" customHeight="true" outlineLevel="0" collapsed="false">
      <c r="A5" s="2" t="s">
        <v>61</v>
      </c>
      <c r="B5" s="2" t="s">
        <v>62</v>
      </c>
      <c r="C5" s="3" t="s">
        <v>63</v>
      </c>
      <c r="D5" s="2" t="s">
        <v>64</v>
      </c>
      <c r="E5" s="2" t="s">
        <v>27</v>
      </c>
      <c r="F5" s="4" t="s">
        <v>28</v>
      </c>
      <c r="G5" s="5" t="s">
        <v>29</v>
      </c>
      <c r="H5" s="2" t="s">
        <v>65</v>
      </c>
      <c r="I5" s="2" t="s">
        <v>66</v>
      </c>
      <c r="J5" s="2" t="s">
        <v>67</v>
      </c>
      <c r="K5" s="6" t="n">
        <v>45967.5986111111</v>
      </c>
      <c r="L5" s="6" t="n">
        <v>45967.6006944445</v>
      </c>
      <c r="M5" s="6" t="n">
        <v>45967.6527777778</v>
      </c>
      <c r="N5" s="6" t="n">
        <v>45968.4583333333</v>
      </c>
      <c r="O5" s="2" t="n">
        <v>2</v>
      </c>
      <c r="P5" s="7" t="n">
        <f aca="false">(M5-K5)*24</f>
        <v>1.3</v>
      </c>
      <c r="Q5" s="2" t="str">
        <f aca="false">IF(P5&lt;=O5,"Yes","No")</f>
        <v>Yes</v>
      </c>
      <c r="R5" s="3" t="s">
        <v>68</v>
      </c>
      <c r="S5" s="2" t="s">
        <v>69</v>
      </c>
      <c r="T5" s="2" t="s">
        <v>35</v>
      </c>
      <c r="U5" s="2" t="s">
        <v>36</v>
      </c>
      <c r="V5" s="2" t="s">
        <v>70</v>
      </c>
      <c r="W5" s="3" t="s">
        <v>71</v>
      </c>
    </row>
    <row r="6" customFormat="false" ht="45" hidden="false" customHeight="true" outlineLevel="0" collapsed="false">
      <c r="A6" s="2" t="s">
        <v>72</v>
      </c>
      <c r="B6" s="2" t="s">
        <v>73</v>
      </c>
      <c r="C6" s="3" t="s">
        <v>74</v>
      </c>
      <c r="D6" s="2" t="s">
        <v>75</v>
      </c>
      <c r="E6" s="2" t="s">
        <v>55</v>
      </c>
      <c r="F6" s="9" t="s">
        <v>76</v>
      </c>
      <c r="G6" s="5" t="s">
        <v>29</v>
      </c>
      <c r="H6" s="2" t="s">
        <v>77</v>
      </c>
      <c r="I6" s="2" t="s">
        <v>78</v>
      </c>
      <c r="J6" s="2" t="s">
        <v>79</v>
      </c>
      <c r="K6" s="6" t="n">
        <v>45968.3819444445</v>
      </c>
      <c r="L6" s="6" t="n">
        <v>45968.3958333333</v>
      </c>
      <c r="M6" s="6" t="n">
        <v>45968.6145833333</v>
      </c>
      <c r="N6" s="6" t="n">
        <v>45969.4270833333</v>
      </c>
      <c r="O6" s="2" t="n">
        <v>8</v>
      </c>
      <c r="P6" s="7" t="n">
        <f aca="false">(M6-K6)*24</f>
        <v>5.58333333333333</v>
      </c>
      <c r="Q6" s="2" t="str">
        <f aca="false">IF(P6&lt;=O6,"Yes","No")</f>
        <v>Yes</v>
      </c>
      <c r="R6" s="3" t="s">
        <v>80</v>
      </c>
      <c r="S6" s="2" t="s">
        <v>81</v>
      </c>
      <c r="T6" s="2" t="s">
        <v>82</v>
      </c>
      <c r="U6" s="2" t="s">
        <v>83</v>
      </c>
      <c r="V6" s="2"/>
      <c r="W6" s="3" t="s">
        <v>84</v>
      </c>
    </row>
    <row r="7" customFormat="false" ht="45" hidden="false" customHeight="true" outlineLevel="0" collapsed="false">
      <c r="A7" s="2" t="s">
        <v>85</v>
      </c>
      <c r="B7" s="2" t="s">
        <v>86</v>
      </c>
      <c r="C7" s="3" t="s">
        <v>87</v>
      </c>
      <c r="D7" s="2" t="s">
        <v>88</v>
      </c>
      <c r="E7" s="2" t="s">
        <v>89</v>
      </c>
      <c r="F7" s="5" t="s">
        <v>90</v>
      </c>
      <c r="G7" s="5" t="s">
        <v>29</v>
      </c>
      <c r="H7" s="2" t="s">
        <v>91</v>
      </c>
      <c r="I7" s="2" t="s">
        <v>92</v>
      </c>
      <c r="J7" s="2" t="s">
        <v>67</v>
      </c>
      <c r="K7" s="6" t="n">
        <v>45969.7048611111</v>
      </c>
      <c r="L7" s="6" t="n">
        <v>45969.7222222222</v>
      </c>
      <c r="M7" s="6" t="n">
        <v>45970.4375</v>
      </c>
      <c r="N7" s="6" t="n">
        <v>45971.375</v>
      </c>
      <c r="O7" s="2" t="n">
        <v>24</v>
      </c>
      <c r="P7" s="7" t="n">
        <f aca="false">(M7-K7)*24</f>
        <v>17.5833333333333</v>
      </c>
      <c r="Q7" s="2" t="str">
        <f aca="false">IF(P7&lt;=O7,"Yes","No")</f>
        <v>Yes</v>
      </c>
      <c r="R7" s="3" t="s">
        <v>93</v>
      </c>
      <c r="S7" s="2" t="s">
        <v>94</v>
      </c>
      <c r="T7" s="2" t="s">
        <v>95</v>
      </c>
      <c r="U7" s="2" t="s">
        <v>83</v>
      </c>
      <c r="V7" s="2"/>
      <c r="W7" s="3" t="s">
        <v>96</v>
      </c>
    </row>
    <row r="8" customFormat="false" ht="45" hidden="false" customHeight="true" outlineLevel="0" collapsed="false">
      <c r="A8" s="2" t="s">
        <v>97</v>
      </c>
      <c r="B8" s="2" t="s">
        <v>98</v>
      </c>
      <c r="C8" s="3" t="s">
        <v>99</v>
      </c>
      <c r="D8" s="2" t="s">
        <v>100</v>
      </c>
      <c r="E8" s="2" t="s">
        <v>55</v>
      </c>
      <c r="F8" s="8" t="s">
        <v>43</v>
      </c>
      <c r="G8" s="5" t="s">
        <v>29</v>
      </c>
      <c r="H8" s="2" t="s">
        <v>101</v>
      </c>
      <c r="I8" s="2" t="s">
        <v>102</v>
      </c>
      <c r="J8" s="2" t="s">
        <v>67</v>
      </c>
      <c r="K8" s="6" t="n">
        <v>45971.4201388889</v>
      </c>
      <c r="L8" s="6" t="n">
        <v>45971.4291666667</v>
      </c>
      <c r="M8" s="6" t="n">
        <v>45971.5208333333</v>
      </c>
      <c r="N8" s="6" t="n">
        <v>45972.625</v>
      </c>
      <c r="O8" s="2" t="n">
        <v>8</v>
      </c>
      <c r="P8" s="7" t="n">
        <f aca="false">(M8-K8)*24</f>
        <v>2.41666666666667</v>
      </c>
      <c r="Q8" s="2" t="str">
        <f aca="false">IF(P8&lt;=O8,"Yes","No")</f>
        <v>Yes</v>
      </c>
      <c r="R8" s="3" t="s">
        <v>103</v>
      </c>
      <c r="S8" s="2" t="s">
        <v>104</v>
      </c>
      <c r="T8" s="2" t="s">
        <v>49</v>
      </c>
      <c r="U8" s="2" t="s">
        <v>36</v>
      </c>
      <c r="V8" s="2"/>
      <c r="W8" s="3" t="s">
        <v>105</v>
      </c>
    </row>
    <row r="9" customFormat="false" ht="45" hidden="false" customHeight="true" outlineLevel="0" collapsed="false">
      <c r="A9" s="2" t="s">
        <v>106</v>
      </c>
      <c r="B9" s="2" t="s">
        <v>107</v>
      </c>
      <c r="C9" s="3" t="s">
        <v>108</v>
      </c>
      <c r="D9" s="2" t="s">
        <v>64</v>
      </c>
      <c r="E9" s="2" t="s">
        <v>27</v>
      </c>
      <c r="F9" s="4" t="s">
        <v>28</v>
      </c>
      <c r="G9" s="5" t="s">
        <v>29</v>
      </c>
      <c r="H9" s="2" t="s">
        <v>109</v>
      </c>
      <c r="I9" s="2" t="s">
        <v>110</v>
      </c>
      <c r="J9" s="2" t="s">
        <v>111</v>
      </c>
      <c r="K9" s="6" t="n">
        <v>45972.9270833333</v>
      </c>
      <c r="L9" s="6" t="n">
        <v>45972.9305555556</v>
      </c>
      <c r="M9" s="6" t="n">
        <v>45973.15625</v>
      </c>
      <c r="N9" s="6" t="n">
        <v>45973.6666666667</v>
      </c>
      <c r="O9" s="2" t="n">
        <v>4</v>
      </c>
      <c r="P9" s="7" t="n">
        <f aca="false">(M9-K9)*24</f>
        <v>5.5</v>
      </c>
      <c r="Q9" s="2" t="str">
        <f aca="false">IF(P9&lt;=O9,"Yes","No")</f>
        <v>No</v>
      </c>
      <c r="R9" s="3" t="s">
        <v>112</v>
      </c>
      <c r="S9" s="2" t="s">
        <v>113</v>
      </c>
      <c r="T9" s="2" t="s">
        <v>35</v>
      </c>
      <c r="U9" s="2" t="s">
        <v>83</v>
      </c>
      <c r="V9" s="2" t="s">
        <v>114</v>
      </c>
      <c r="W9" s="3" t="s">
        <v>115</v>
      </c>
    </row>
    <row r="10" customFormat="false" ht="45" hidden="false" customHeight="true" outlineLevel="0" collapsed="false">
      <c r="A10" s="2" t="s">
        <v>116</v>
      </c>
      <c r="B10" s="2" t="s">
        <v>117</v>
      </c>
      <c r="C10" s="3" t="s">
        <v>118</v>
      </c>
      <c r="D10" s="2" t="s">
        <v>26</v>
      </c>
      <c r="E10" s="2" t="s">
        <v>89</v>
      </c>
      <c r="F10" s="9" t="s">
        <v>76</v>
      </c>
      <c r="G10" s="5" t="s">
        <v>29</v>
      </c>
      <c r="H10" s="2" t="s">
        <v>119</v>
      </c>
      <c r="I10" s="2" t="s">
        <v>120</v>
      </c>
      <c r="J10" s="2" t="s">
        <v>121</v>
      </c>
      <c r="K10" s="6" t="n">
        <v>45974.5694444445</v>
      </c>
      <c r="L10" s="6" t="n">
        <v>45974.59375</v>
      </c>
      <c r="M10" s="6" t="n">
        <v>45975.4583333333</v>
      </c>
      <c r="N10" s="6" t="n">
        <v>45975.6875</v>
      </c>
      <c r="O10" s="2" t="n">
        <v>24</v>
      </c>
      <c r="P10" s="7" t="n">
        <f aca="false">(M10-K10)*24</f>
        <v>21.3333333333333</v>
      </c>
      <c r="Q10" s="2" t="str">
        <f aca="false">IF(P10&lt;=O10,"Yes","No")</f>
        <v>Yes</v>
      </c>
      <c r="R10" s="3" t="s">
        <v>122</v>
      </c>
      <c r="S10" s="2" t="s">
        <v>123</v>
      </c>
      <c r="T10" s="2" t="s">
        <v>82</v>
      </c>
      <c r="U10" s="2" t="s">
        <v>83</v>
      </c>
      <c r="V10" s="2"/>
      <c r="W10" s="3" t="s">
        <v>124</v>
      </c>
    </row>
    <row r="11" customFormat="false" ht="45" hidden="false" customHeight="true" outlineLevel="0" collapsed="false">
      <c r="A11" s="2" t="s">
        <v>125</v>
      </c>
      <c r="B11" s="2" t="s">
        <v>126</v>
      </c>
      <c r="C11" s="3" t="s">
        <v>127</v>
      </c>
      <c r="D11" s="2" t="s">
        <v>64</v>
      </c>
      <c r="E11" s="2" t="s">
        <v>89</v>
      </c>
      <c r="F11" s="9" t="s">
        <v>76</v>
      </c>
      <c r="G11" s="5" t="s">
        <v>29</v>
      </c>
      <c r="H11" s="2" t="s">
        <v>128</v>
      </c>
      <c r="I11" s="2" t="s">
        <v>129</v>
      </c>
      <c r="J11" s="2" t="s">
        <v>67</v>
      </c>
      <c r="K11" s="6" t="n">
        <v>45975.4305555556</v>
      </c>
      <c r="L11" s="6" t="n">
        <v>45975.4583333333</v>
      </c>
      <c r="M11" s="6" t="n">
        <v>45976.3958333333</v>
      </c>
      <c r="N11" s="6" t="n">
        <v>45976.5833333333</v>
      </c>
      <c r="O11" s="2" t="n">
        <v>24</v>
      </c>
      <c r="P11" s="7" t="n">
        <f aca="false">(M11-K11)*24</f>
        <v>23.1666666670933</v>
      </c>
      <c r="Q11" s="2" t="str">
        <f aca="false">IF(P11&lt;=O11,"Yes","No")</f>
        <v>Yes</v>
      </c>
      <c r="R11" s="3" t="s">
        <v>130</v>
      </c>
      <c r="S11" s="2" t="s">
        <v>131</v>
      </c>
      <c r="T11" s="2" t="s">
        <v>82</v>
      </c>
      <c r="U11" s="2" t="s">
        <v>36</v>
      </c>
      <c r="V11" s="2"/>
      <c r="W11" s="3" t="s">
        <v>132</v>
      </c>
    </row>
    <row r="12" customFormat="false" ht="45" hidden="false" customHeight="true" outlineLevel="0" collapsed="false">
      <c r="A12" s="2" t="s">
        <v>133</v>
      </c>
      <c r="B12" s="2" t="s">
        <v>134</v>
      </c>
      <c r="C12" s="3" t="s">
        <v>135</v>
      </c>
      <c r="D12" s="2" t="s">
        <v>54</v>
      </c>
      <c r="E12" s="2" t="s">
        <v>55</v>
      </c>
      <c r="F12" s="8" t="s">
        <v>43</v>
      </c>
      <c r="G12" s="5" t="s">
        <v>29</v>
      </c>
      <c r="H12" s="2" t="s">
        <v>77</v>
      </c>
      <c r="I12" s="2" t="s">
        <v>57</v>
      </c>
      <c r="J12" s="2" t="s">
        <v>32</v>
      </c>
      <c r="K12" s="6" t="n">
        <v>45978.4152777778</v>
      </c>
      <c r="L12" s="6" t="n">
        <v>45978.4201388889</v>
      </c>
      <c r="M12" s="6" t="n">
        <v>45978.4791666667</v>
      </c>
      <c r="N12" s="6" t="n">
        <v>45979.375</v>
      </c>
      <c r="O12" s="2" t="n">
        <v>8</v>
      </c>
      <c r="P12" s="7" t="n">
        <f aca="false">(M12-K12)*24</f>
        <v>1.53333333333333</v>
      </c>
      <c r="Q12" s="2" t="str">
        <f aca="false">IF(P12&lt;=O12,"Yes","No")</f>
        <v>Yes</v>
      </c>
      <c r="R12" s="3" t="s">
        <v>136</v>
      </c>
      <c r="S12" s="2" t="s">
        <v>104</v>
      </c>
      <c r="T12" s="2" t="s">
        <v>49</v>
      </c>
      <c r="U12" s="2" t="s">
        <v>36</v>
      </c>
      <c r="V12" s="2"/>
      <c r="W12" s="3" t="s">
        <v>137</v>
      </c>
    </row>
    <row r="13" customFormat="false" ht="45" hidden="false" customHeight="true" outlineLevel="0" collapsed="false">
      <c r="A13" s="2" t="s">
        <v>138</v>
      </c>
      <c r="B13" s="2" t="s">
        <v>139</v>
      </c>
      <c r="C13" s="3" t="s">
        <v>140</v>
      </c>
      <c r="D13" s="2" t="s">
        <v>88</v>
      </c>
      <c r="E13" s="2" t="s">
        <v>89</v>
      </c>
      <c r="F13" s="9" t="s">
        <v>76</v>
      </c>
      <c r="G13" s="9" t="s">
        <v>141</v>
      </c>
      <c r="H13" s="2" t="s">
        <v>91</v>
      </c>
      <c r="I13" s="2" t="s">
        <v>92</v>
      </c>
      <c r="J13" s="2" t="s">
        <v>32</v>
      </c>
      <c r="K13" s="6" t="n">
        <v>45980.3541666667</v>
      </c>
      <c r="L13" s="6" t="n">
        <v>45980.375</v>
      </c>
      <c r="M13" s="6" t="n">
        <v>45981.5833333333</v>
      </c>
      <c r="N13" s="2"/>
      <c r="O13" s="2" t="n">
        <v>24</v>
      </c>
      <c r="P13" s="7" t="n">
        <f aca="false">(M13-K13)*24</f>
        <v>29.5000000004656</v>
      </c>
      <c r="Q13" s="2" t="str">
        <f aca="false">IF(P13&lt;=O13,"Yes","No")</f>
        <v>No</v>
      </c>
      <c r="R13" s="3" t="s">
        <v>142</v>
      </c>
      <c r="S13" s="2" t="s">
        <v>143</v>
      </c>
      <c r="T13" s="2" t="s">
        <v>95</v>
      </c>
      <c r="U13" s="2" t="s">
        <v>83</v>
      </c>
      <c r="V13" s="2" t="s">
        <v>144</v>
      </c>
      <c r="W13" s="3" t="s">
        <v>145</v>
      </c>
    </row>
    <row r="14" customFormat="false" ht="45" hidden="false" customHeight="true" outlineLevel="0" collapsed="false">
      <c r="A14" s="2" t="s">
        <v>146</v>
      </c>
      <c r="B14" s="2" t="s">
        <v>147</v>
      </c>
      <c r="C14" s="3" t="s">
        <v>148</v>
      </c>
      <c r="D14" s="2" t="s">
        <v>75</v>
      </c>
      <c r="E14" s="2" t="s">
        <v>89</v>
      </c>
      <c r="F14" s="5" t="s">
        <v>90</v>
      </c>
      <c r="G14" s="9" t="s">
        <v>141</v>
      </c>
      <c r="H14" s="2" t="s">
        <v>65</v>
      </c>
      <c r="I14" s="2" t="s">
        <v>78</v>
      </c>
      <c r="J14" s="2" t="s">
        <v>149</v>
      </c>
      <c r="K14" s="6" t="n">
        <v>45981.59375</v>
      </c>
      <c r="L14" s="6" t="n">
        <v>45981.6145833333</v>
      </c>
      <c r="M14" s="6" t="n">
        <v>45982.4166666667</v>
      </c>
      <c r="N14" s="2"/>
      <c r="O14" s="2" t="n">
        <v>24</v>
      </c>
      <c r="P14" s="7" t="n">
        <f aca="false">(M14-K14)*24</f>
        <v>19.75</v>
      </c>
      <c r="Q14" s="2" t="str">
        <f aca="false">IF(P14&lt;=O14,"Yes","No")</f>
        <v>Yes</v>
      </c>
      <c r="R14" s="3" t="s">
        <v>150</v>
      </c>
      <c r="S14" s="2" t="s">
        <v>151</v>
      </c>
      <c r="T14" s="2" t="s">
        <v>95</v>
      </c>
      <c r="U14" s="2" t="s">
        <v>36</v>
      </c>
      <c r="V14" s="2"/>
      <c r="W14" s="3" t="s">
        <v>152</v>
      </c>
    </row>
    <row r="15" customFormat="false" ht="45" hidden="false" customHeight="true" outlineLevel="0" collapsed="false">
      <c r="A15" s="2" t="s">
        <v>153</v>
      </c>
      <c r="B15" s="2" t="s">
        <v>154</v>
      </c>
      <c r="C15" s="3" t="s">
        <v>155</v>
      </c>
      <c r="D15" s="2" t="s">
        <v>100</v>
      </c>
      <c r="E15" s="2" t="s">
        <v>55</v>
      </c>
      <c r="F15" s="8" t="s">
        <v>43</v>
      </c>
      <c r="G15" s="8" t="s">
        <v>156</v>
      </c>
      <c r="H15" s="2" t="s">
        <v>56</v>
      </c>
      <c r="I15" s="2" t="s">
        <v>45</v>
      </c>
      <c r="J15" s="2" t="s">
        <v>32</v>
      </c>
      <c r="K15" s="6" t="n">
        <v>45982.4722222222</v>
      </c>
      <c r="L15" s="6" t="n">
        <v>45982.4826388889</v>
      </c>
      <c r="M15" s="2"/>
      <c r="N15" s="2"/>
      <c r="O15" s="2" t="n">
        <v>8</v>
      </c>
      <c r="P15" s="2"/>
      <c r="Q15" s="2"/>
      <c r="R15" s="3"/>
      <c r="S15" s="2" t="s">
        <v>157</v>
      </c>
      <c r="T15" s="2" t="s">
        <v>49</v>
      </c>
      <c r="U15" s="2" t="s">
        <v>36</v>
      </c>
      <c r="V15" s="2" t="s">
        <v>158</v>
      </c>
      <c r="W15" s="3" t="s">
        <v>159</v>
      </c>
    </row>
    <row r="16" customFormat="false" ht="45" hidden="false" customHeight="true" outlineLevel="0" collapsed="false">
      <c r="A16" s="2" t="s">
        <v>160</v>
      </c>
      <c r="B16" s="2" t="s">
        <v>161</v>
      </c>
      <c r="C16" s="3" t="s">
        <v>162</v>
      </c>
      <c r="D16" s="2" t="s">
        <v>26</v>
      </c>
      <c r="E16" s="2" t="s">
        <v>89</v>
      </c>
      <c r="F16" s="9" t="s">
        <v>76</v>
      </c>
      <c r="G16" s="8" t="s">
        <v>156</v>
      </c>
      <c r="H16" s="2" t="s">
        <v>119</v>
      </c>
      <c r="I16" s="2" t="s">
        <v>120</v>
      </c>
      <c r="J16" s="2" t="s">
        <v>121</v>
      </c>
      <c r="K16" s="6" t="n">
        <v>45983.3229166667</v>
      </c>
      <c r="L16" s="6" t="n">
        <v>45983.3541666667</v>
      </c>
      <c r="M16" s="2"/>
      <c r="N16" s="2"/>
      <c r="O16" s="2" t="n">
        <v>24</v>
      </c>
      <c r="P16" s="2"/>
      <c r="Q16" s="2"/>
      <c r="R16" s="3"/>
      <c r="S16" s="2" t="s">
        <v>163</v>
      </c>
      <c r="T16" s="2" t="s">
        <v>82</v>
      </c>
      <c r="U16" s="2" t="s">
        <v>83</v>
      </c>
      <c r="V16" s="2"/>
      <c r="W16" s="3" t="s">
        <v>164</v>
      </c>
    </row>
    <row r="17" customFormat="false" ht="45" hidden="false" customHeight="true" outlineLevel="0" collapsed="false">
      <c r="A17" s="2" t="s">
        <v>165</v>
      </c>
      <c r="B17" s="2" t="s">
        <v>166</v>
      </c>
      <c r="C17" s="3" t="s">
        <v>167</v>
      </c>
      <c r="D17" s="2" t="s">
        <v>168</v>
      </c>
      <c r="E17" s="2" t="s">
        <v>89</v>
      </c>
      <c r="F17" s="9" t="s">
        <v>76</v>
      </c>
      <c r="G17" s="4" t="s">
        <v>169</v>
      </c>
      <c r="H17" s="2" t="s">
        <v>109</v>
      </c>
      <c r="I17" s="2" t="s">
        <v>102</v>
      </c>
      <c r="J17" s="2" t="s">
        <v>111</v>
      </c>
      <c r="K17" s="6" t="n">
        <v>45985.375</v>
      </c>
      <c r="L17" s="2"/>
      <c r="M17" s="2"/>
      <c r="N17" s="2"/>
      <c r="O17" s="2" t="n">
        <v>24</v>
      </c>
      <c r="P17" s="2"/>
      <c r="Q17" s="2"/>
      <c r="R17" s="3"/>
      <c r="S17" s="2"/>
      <c r="T17" s="2" t="s">
        <v>82</v>
      </c>
      <c r="U17" s="2" t="s">
        <v>83</v>
      </c>
      <c r="V17" s="2" t="s">
        <v>170</v>
      </c>
      <c r="W17" s="3" t="s">
        <v>171</v>
      </c>
    </row>
    <row r="18" customFormat="false" ht="45" hidden="false" customHeight="true" outlineLevel="0" collapsed="false">
      <c r="A18" s="2" t="s">
        <v>172</v>
      </c>
      <c r="B18" s="2" t="s">
        <v>173</v>
      </c>
      <c r="C18" s="3" t="s">
        <v>174</v>
      </c>
      <c r="D18" s="2" t="s">
        <v>64</v>
      </c>
      <c r="E18" s="2" t="s">
        <v>55</v>
      </c>
      <c r="F18" s="9" t="s">
        <v>76</v>
      </c>
      <c r="G18" s="4" t="s">
        <v>169</v>
      </c>
      <c r="H18" s="2" t="s">
        <v>101</v>
      </c>
      <c r="I18" s="2" t="s">
        <v>66</v>
      </c>
      <c r="J18" s="2" t="s">
        <v>67</v>
      </c>
      <c r="K18" s="6" t="n">
        <v>45986.3402777778</v>
      </c>
      <c r="L18" s="6" t="n">
        <v>45986.3506944445</v>
      </c>
      <c r="M18" s="2"/>
      <c r="N18" s="2"/>
      <c r="O18" s="2" t="n">
        <v>8</v>
      </c>
      <c r="P18" s="2"/>
      <c r="Q18" s="2"/>
      <c r="R18" s="3"/>
      <c r="S18" s="2" t="s">
        <v>175</v>
      </c>
      <c r="T18" s="2" t="s">
        <v>82</v>
      </c>
      <c r="U18" s="2" t="s">
        <v>36</v>
      </c>
      <c r="V18" s="2"/>
      <c r="W18" s="3" t="s">
        <v>176</v>
      </c>
    </row>
  </sheetData>
  <autoFilter ref="A1:W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4" style="0" width="2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0" t="s">
        <v>177</v>
      </c>
      <c r="B1" s="10"/>
      <c r="C1" s="10"/>
      <c r="D1" s="10"/>
    </row>
    <row r="3" customFormat="false" ht="15" hidden="false" customHeight="false" outlineLevel="0" collapsed="false">
      <c r="A3" s="11" t="s">
        <v>178</v>
      </c>
      <c r="B3" s="11" t="s">
        <v>179</v>
      </c>
      <c r="D3" s="11" t="s">
        <v>3</v>
      </c>
      <c r="E3" s="11" t="s">
        <v>180</v>
      </c>
    </row>
    <row r="4" customFormat="false" ht="15" hidden="false" customHeight="false" outlineLevel="0" collapsed="false">
      <c r="A4" s="12" t="s">
        <v>181</v>
      </c>
      <c r="B4" s="13" t="n">
        <f aca="false">COUNTA(Incidents!A2:A18)</f>
        <v>17</v>
      </c>
      <c r="D4" s="14" t="s">
        <v>54</v>
      </c>
      <c r="E4" s="13" t="n">
        <f aca="false">COUNTIF(Incidents!D2:D18,D4)</f>
        <v>2</v>
      </c>
    </row>
    <row r="5" customFormat="false" ht="15" hidden="false" customHeight="false" outlineLevel="0" collapsed="false">
      <c r="A5" s="14" t="s">
        <v>169</v>
      </c>
      <c r="B5" s="13" t="n">
        <f aca="false">COUNTIF(Incidents!G2:G18,"Open")</f>
        <v>2</v>
      </c>
      <c r="D5" s="14" t="s">
        <v>64</v>
      </c>
      <c r="E5" s="13" t="n">
        <f aca="false">COUNTIF(Incidents!D2:D18,D5)</f>
        <v>4</v>
      </c>
    </row>
    <row r="6" customFormat="false" ht="15" hidden="false" customHeight="false" outlineLevel="0" collapsed="false">
      <c r="A6" s="14" t="s">
        <v>156</v>
      </c>
      <c r="B6" s="13" t="n">
        <f aca="false">COUNTIF(Incidents!G2:G18,"In Progress")</f>
        <v>2</v>
      </c>
      <c r="D6" s="14" t="s">
        <v>168</v>
      </c>
      <c r="E6" s="13" t="n">
        <f aca="false">COUNTIF(Incidents!D2:D18,D6)</f>
        <v>1</v>
      </c>
    </row>
    <row r="7" customFormat="false" ht="15" hidden="false" customHeight="false" outlineLevel="0" collapsed="false">
      <c r="A7" s="14" t="s">
        <v>141</v>
      </c>
      <c r="B7" s="13" t="n">
        <f aca="false">COUNTIF(Incidents!G2:G18,"Resolved")</f>
        <v>2</v>
      </c>
      <c r="D7" s="14" t="s">
        <v>100</v>
      </c>
      <c r="E7" s="13" t="n">
        <f aca="false">COUNTIF(Incidents!D2:D18,D7)</f>
        <v>2</v>
      </c>
    </row>
    <row r="8" customFormat="false" ht="15" hidden="false" customHeight="false" outlineLevel="0" collapsed="false">
      <c r="A8" s="14" t="s">
        <v>29</v>
      </c>
      <c r="B8" s="13" t="n">
        <f aca="false">COUNTIF(Incidents!G2:G18,"Closed")</f>
        <v>11</v>
      </c>
      <c r="D8" s="14" t="s">
        <v>26</v>
      </c>
      <c r="E8" s="13" t="n">
        <f aca="false">COUNTIF(Incidents!D2:D18,D8)</f>
        <v>3</v>
      </c>
    </row>
    <row r="9" customFormat="false" ht="15" hidden="false" customHeight="false" outlineLevel="0" collapsed="false">
      <c r="A9" s="14" t="s">
        <v>27</v>
      </c>
      <c r="B9" s="13" t="n">
        <f aca="false">COUNTIF(Incidents!E2:E18,"P1 - Critical")</f>
        <v>4</v>
      </c>
      <c r="D9" s="14" t="s">
        <v>88</v>
      </c>
      <c r="E9" s="13" t="n">
        <f aca="false">COUNTIF(Incidents!D2:D18,D9)</f>
        <v>2</v>
      </c>
    </row>
    <row r="10" customFormat="false" ht="15" hidden="false" customHeight="false" outlineLevel="0" collapsed="false">
      <c r="A10" s="14" t="s">
        <v>55</v>
      </c>
      <c r="B10" s="13" t="n">
        <f aca="false">COUNTIF(Incidents!E2:E18,"P2 - High")</f>
        <v>6</v>
      </c>
      <c r="D10" s="14" t="s">
        <v>42</v>
      </c>
      <c r="E10" s="13" t="n">
        <f aca="false">COUNTIF(Incidents!D2:D18,D10)</f>
        <v>1</v>
      </c>
    </row>
    <row r="11" customFormat="false" ht="15" hidden="false" customHeight="false" outlineLevel="0" collapsed="false">
      <c r="A11" s="14" t="s">
        <v>89</v>
      </c>
      <c r="B11" s="13" t="n">
        <f aca="false">COUNTIF(Incidents!E2:E18,"P3 - Medium")</f>
        <v>7</v>
      </c>
      <c r="D11" s="14" t="s">
        <v>75</v>
      </c>
      <c r="E11" s="13" t="n">
        <f aca="false">COUNTIF(Incidents!D2:D18,D11)</f>
        <v>2</v>
      </c>
    </row>
    <row r="12" customFormat="false" ht="15" hidden="false" customHeight="false" outlineLevel="0" collapsed="false">
      <c r="A12" s="14" t="s">
        <v>182</v>
      </c>
      <c r="B12" s="13" t="n">
        <f aca="false">IFERROR(AVERAGE(Incidents!P2:P18),"N/A")</f>
        <v>12.4076923077609</v>
      </c>
    </row>
    <row r="13" customFormat="false" ht="15" hidden="false" customHeight="false" outlineLevel="0" collapsed="false">
      <c r="A13" s="14" t="s">
        <v>183</v>
      </c>
      <c r="B13" s="15" t="n">
        <f aca="false">IFERROR(COUNTIF(Incidents!Q2:Q18,"Yes")/COUNTA(Incidents!Q2:Q18),"N/A")</f>
        <v>0.769230769230769</v>
      </c>
    </row>
    <row r="16" customFormat="false" ht="15" hidden="false" customHeight="false" outlineLevel="0" collapsed="false">
      <c r="A16" s="16" t="s">
        <v>184</v>
      </c>
    </row>
    <row r="17" customFormat="false" ht="15" hidden="false" customHeight="false" outlineLevel="0" collapsed="false">
      <c r="A17" s="17" t="s">
        <v>185</v>
      </c>
      <c r="B17" s="18" t="s">
        <v>186</v>
      </c>
    </row>
    <row r="18" customFormat="false" ht="15" hidden="false" customHeight="false" outlineLevel="0" collapsed="false">
      <c r="A18" s="17" t="s">
        <v>187</v>
      </c>
      <c r="B18" s="18" t="s">
        <v>188</v>
      </c>
    </row>
    <row r="19" customFormat="false" ht="15" hidden="false" customHeight="false" outlineLevel="0" collapsed="false">
      <c r="A19" s="17" t="s">
        <v>189</v>
      </c>
      <c r="B19" s="18" t="s">
        <v>190</v>
      </c>
    </row>
    <row r="20" customFormat="false" ht="15" hidden="false" customHeight="false" outlineLevel="0" collapsed="false">
      <c r="A20" s="17" t="s">
        <v>191</v>
      </c>
      <c r="B20" s="18" t="s">
        <v>192</v>
      </c>
    </row>
    <row r="21" customFormat="false" ht="15" hidden="false" customHeight="false" outlineLevel="0" collapsed="false">
      <c r="A21" s="17" t="s">
        <v>193</v>
      </c>
      <c r="B21" s="18" t="s">
        <v>194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2026-03-09T22:06:04Z</dcterms:created>
  <dc:creator>openpyxl</dc:creator>
  <dc:description/>
  <dc:language>en-US</dc:language>
  <cp:lastModifiedBy/>
  <dcterms:modified xsi:type="dcterms:W3CDTF">2026-03-09T22:06:04Z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