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 Doc" sheetId="1" r:id="rId4"/>
    <sheet state="visible" name="Infra assets" sheetId="2" r:id="rId5"/>
    <sheet state="visible" name="HW Assets" sheetId="3" r:id="rId6"/>
    <sheet state="visible" name="KSA_NETWORK" sheetId="4" r:id="rId7"/>
  </sheets>
  <definedNames/>
  <calcPr/>
  <extLst>
    <ext uri="GoogleSheetsCustomDataVersion2">
      <go:sheetsCustomData xmlns:go="http://customooxmlschemas.google.com/" r:id="rId8" roundtripDataChecksum="mp4z1C26+XtGQyymfrSO5meZA9fFYhN9s+q8gFYg53Y="/>
    </ext>
  </extLst>
</workbook>
</file>

<file path=xl/sharedStrings.xml><?xml version="1.0" encoding="utf-8"?>
<sst xmlns="http://schemas.openxmlformats.org/spreadsheetml/2006/main" count="1053" uniqueCount="311">
  <si>
    <t>Last Approval Date</t>
  </si>
  <si>
    <t>Next Review</t>
  </si>
  <si>
    <t>Reviewed by</t>
  </si>
  <si>
    <t>VP Infosec</t>
  </si>
  <si>
    <t>Approved By</t>
  </si>
  <si>
    <t>RCC</t>
  </si>
  <si>
    <t>Infrastructure Asset</t>
  </si>
  <si>
    <t>Public IP</t>
  </si>
  <si>
    <t>Private IP</t>
  </si>
  <si>
    <t>Subnet type</t>
  </si>
  <si>
    <t>Log Agent Installed</t>
  </si>
  <si>
    <t>Type of Asset</t>
  </si>
  <si>
    <t>Backup available</t>
  </si>
  <si>
    <t>Confidentiality valuation</t>
  </si>
  <si>
    <t>Integrity valuation</t>
  </si>
  <si>
    <t>Availability valuation</t>
  </si>
  <si>
    <t>Format</t>
  </si>
  <si>
    <t>Location</t>
  </si>
  <si>
    <t>License</t>
  </si>
  <si>
    <t>Asset owner</t>
  </si>
  <si>
    <t>Business Value</t>
  </si>
  <si>
    <t>Classification</t>
  </si>
  <si>
    <t>Custodian</t>
  </si>
  <si>
    <t>Support Contract</t>
  </si>
  <si>
    <t>Supplier</t>
  </si>
  <si>
    <t>Deprecated</t>
  </si>
  <si>
    <t>Date Deprecated</t>
  </si>
  <si>
    <t>Status</t>
  </si>
  <si>
    <t>Known Errors</t>
  </si>
  <si>
    <t>Physical</t>
  </si>
  <si>
    <t>KSA</t>
  </si>
  <si>
    <t>Linux</t>
  </si>
  <si>
    <t>Open Source</t>
  </si>
  <si>
    <t>Sensitive</t>
  </si>
  <si>
    <t>Devops</t>
  </si>
  <si>
    <t>sa01bastion01</t>
  </si>
  <si>
    <t>207.127.100.238</t>
  </si>
  <si>
    <t>Masked</t>
  </si>
  <si>
    <t>Public</t>
  </si>
  <si>
    <t xml:space="preserve">SIEM (Wazuh) </t>
  </si>
  <si>
    <t>Compute</t>
  </si>
  <si>
    <t>Yes</t>
  </si>
  <si>
    <t>N/a - we use OCI cloud</t>
  </si>
  <si>
    <t>Jump machine for users to login</t>
  </si>
  <si>
    <t>No</t>
  </si>
  <si>
    <t>OCI</t>
  </si>
  <si>
    <t>Healthy</t>
  </si>
  <si>
    <t>Computer</t>
  </si>
  <si>
    <t>UAE</t>
  </si>
  <si>
    <t>Mac</t>
  </si>
  <si>
    <t>Propritery</t>
  </si>
  <si>
    <t>Critical</t>
  </si>
  <si>
    <t>IT</t>
  </si>
  <si>
    <t>sa01etcd-1</t>
  </si>
  <si>
    <t>-</t>
  </si>
  <si>
    <t>Private</t>
  </si>
  <si>
    <t>Node running Orchastration for services</t>
  </si>
  <si>
    <t>sa01etcd-2</t>
  </si>
  <si>
    <t>sa01etcd-3</t>
  </si>
  <si>
    <t>AWS</t>
  </si>
  <si>
    <t>Unhealthy</t>
  </si>
  <si>
    <t>sa01iupsql-1</t>
  </si>
  <si>
    <t>Database for Integration Units</t>
  </si>
  <si>
    <t>sa01iupsql-2</t>
  </si>
  <si>
    <t>CIA Rating</t>
  </si>
  <si>
    <t>C</t>
  </si>
  <si>
    <t>I</t>
  </si>
  <si>
    <t>A</t>
  </si>
  <si>
    <t>oke-cm4zia4sehq-nu7gvlmgl7q-sacmc2hktdq-5</t>
  </si>
  <si>
    <t>Microservices</t>
  </si>
  <si>
    <t>oke-cm4zia4sehq-nu7gvlmgl7q-sacmc2hktdq-4</t>
  </si>
  <si>
    <t>oke-cm4zia4sehq-nu7gvlmgl7q-sacmc2hktdq-3</t>
  </si>
  <si>
    <t>oke-cm4zia4sehq-naji75cht3q-sacmc2hktdq-5</t>
  </si>
  <si>
    <t>oke-cm4zia4sehq-naji75cht3q-sacmc2hktdq-4</t>
  </si>
  <si>
    <t>oke-cm4zia4sehq-naji75cht3q-sacmc2hktdq-3</t>
  </si>
  <si>
    <t>oke-cm4zia4sehq-naji75cht3q-sacmc2hktdq-1</t>
  </si>
  <si>
    <t>oke-cm4zia4sehq-naji75cht3q-sacmc2hktdq-0</t>
  </si>
  <si>
    <t>oke-cm4zia4sehq-n46qijellvq-sacmc2hktdq-7</t>
  </si>
  <si>
    <t>oke-cm4zia4sehq-n46qijellvq-sacmc2hktdq-6</t>
  </si>
  <si>
    <t>oke-cm4zia4sehq-n46qijellvq-sacmc2hktdq-4</t>
  </si>
  <si>
    <t>oke-cm4zia4sehq-n46qijellvq-sacmc2hktdq-2</t>
  </si>
  <si>
    <t>oke-cm4zia4sehq-n46qijellvq-sacmc2hktdq-1</t>
  </si>
  <si>
    <t>oke-cm4zia4sehq-n46qijellvq-sacmc2hktdq-0</t>
  </si>
  <si>
    <t>sa01mspsql01</t>
  </si>
  <si>
    <t>Database for processed data</t>
  </si>
  <si>
    <t>sa01mspsql02</t>
  </si>
  <si>
    <t>sa01_wazuh</t>
  </si>
  <si>
    <t>150.230.246.110</t>
  </si>
  <si>
    <t>SIEM</t>
  </si>
  <si>
    <t>sa01-soc-siem</t>
  </si>
  <si>
    <t>158.101.239.192</t>
  </si>
  <si>
    <t>sa01-soc-management</t>
  </si>
  <si>
    <t>193.122.80.181</t>
  </si>
  <si>
    <t>sa01nessus-scanner</t>
  </si>
  <si>
    <t/>
  </si>
  <si>
    <t>MAC Number</t>
  </si>
  <si>
    <t>Name</t>
  </si>
  <si>
    <t>Created</t>
  </si>
  <si>
    <t>Updated</t>
  </si>
  <si>
    <t>Asset label</t>
  </si>
  <si>
    <t>Category</t>
  </si>
  <si>
    <t>Order</t>
  </si>
  <si>
    <t>Spec</t>
  </si>
  <si>
    <t>Comments</t>
  </si>
  <si>
    <t xml:space="preserve">Category </t>
  </si>
  <si>
    <t>S/N</t>
  </si>
  <si>
    <t>Part Number</t>
  </si>
  <si>
    <t>Office Location</t>
  </si>
  <si>
    <t>City</t>
  </si>
  <si>
    <t>Purchase Date</t>
  </si>
  <si>
    <t>IT Approval</t>
  </si>
  <si>
    <t>Finance Approval</t>
  </si>
  <si>
    <t>Price (pounds)</t>
  </si>
  <si>
    <t>Price ($)</t>
  </si>
  <si>
    <t>Used From</t>
  </si>
  <si>
    <t>Time in Use (years)</t>
  </si>
  <si>
    <t>Estimate/Accurate</t>
  </si>
  <si>
    <t>Time in Use (months)</t>
  </si>
  <si>
    <t>Replacement Date</t>
  </si>
  <si>
    <t>Lifetime(days)</t>
  </si>
  <si>
    <t>PHE-60</t>
  </si>
  <si>
    <t>DELL U2422HE</t>
  </si>
  <si>
    <t>Lean IT department</t>
  </si>
  <si>
    <t>Wafa Alamri</t>
  </si>
  <si>
    <t>Active</t>
  </si>
  <si>
    <t>DEV-995</t>
  </si>
  <si>
    <t>Monitor</t>
  </si>
  <si>
    <t>DEV-30</t>
  </si>
  <si>
    <t>Riyadh</t>
  </si>
  <si>
    <t>2023-05-05</t>
  </si>
  <si>
    <t>User Request</t>
  </si>
  <si>
    <t>624dc3d7258562006fa7e148</t>
  </si>
  <si>
    <t>PHE-61</t>
  </si>
  <si>
    <t>PHE-62</t>
  </si>
  <si>
    <t>MAC-77</t>
  </si>
  <si>
    <t>MacBook Pro (14-inch, 2021)</t>
  </si>
  <si>
    <t>2022-07-11T14:23:24.506Z</t>
  </si>
  <si>
    <t>2023-05-04T14:32:26.482Z</t>
  </si>
  <si>
    <t>Nabil Dar</t>
  </si>
  <si>
    <t>DEV-993</t>
  </si>
  <si>
    <t>Eng</t>
  </si>
  <si>
    <t>Laptop</t>
  </si>
  <si>
    <t>F0JX1CY9XW</t>
  </si>
  <si>
    <t>MKGP3B/A</t>
  </si>
  <si>
    <t>2023-03-16</t>
  </si>
  <si>
    <t>MAC-119</t>
  </si>
  <si>
    <t>Mashael AlOsaimi</t>
  </si>
  <si>
    <t>Normal</t>
  </si>
  <si>
    <t>F41D462WYH</t>
  </si>
  <si>
    <t>MKGP3AB/A</t>
  </si>
  <si>
    <t>2023-03-27</t>
  </si>
  <si>
    <t>MAC-79</t>
  </si>
  <si>
    <t>Macbook Pro (14-inch, 2021)</t>
  </si>
  <si>
    <t>Mishal Alajmi</t>
  </si>
  <si>
    <t>FG2POQDGXC</t>
  </si>
  <si>
    <t>MKGR3AB/A</t>
  </si>
  <si>
    <t>MAC-78</t>
  </si>
  <si>
    <t>Abeer Almuhanna</t>
  </si>
  <si>
    <t>FPYGDPQWK4</t>
  </si>
  <si>
    <t>MAC-114</t>
  </si>
  <si>
    <t>MacBook Pro (13-inch, M1, 2020)</t>
  </si>
  <si>
    <t>2022-07-12T12:46:36.280Z</t>
  </si>
  <si>
    <t>2023-05-04T14:32:04.293Z</t>
  </si>
  <si>
    <t>In Stock</t>
  </si>
  <si>
    <t>send to saudi</t>
  </si>
  <si>
    <t>FVFGL7ZNQ05N</t>
  </si>
  <si>
    <t>Z11B</t>
  </si>
  <si>
    <t>DEV-28</t>
  </si>
  <si>
    <t>2021-10-25</t>
  </si>
  <si>
    <t>Keep</t>
  </si>
  <si>
    <t>MAC-123</t>
  </si>
  <si>
    <t>2022-07-20T09:04:01.289Z</t>
  </si>
  <si>
    <t>2023-05-04T14:32:04.587Z</t>
  </si>
  <si>
    <t xml:space="preserve">Talal Alsarrani </t>
  </si>
  <si>
    <t>FVFGLMKRQ05D</t>
  </si>
  <si>
    <t>MYD82B/A</t>
  </si>
  <si>
    <t>2021-11-16</t>
  </si>
  <si>
    <t>MAC-67</t>
  </si>
  <si>
    <t>MacBook Pro (16-inch, 2021)</t>
  </si>
  <si>
    <t>2022-07-11T14:11:13.390Z</t>
  </si>
  <si>
    <t>2023-05-04T14:32:18.455Z</t>
  </si>
  <si>
    <t>Rahaf Al Omar</t>
  </si>
  <si>
    <t>HCPWCC704N</t>
  </si>
  <si>
    <t>MK1E3AB/A</t>
  </si>
  <si>
    <t>2022-07-01</t>
  </si>
  <si>
    <t>MAC-111</t>
  </si>
  <si>
    <t>2022-07-12T12:49:16.618Z</t>
  </si>
  <si>
    <t>2023-05-04T14:32:31.875Z</t>
  </si>
  <si>
    <t>Felwah old laptop</t>
  </si>
  <si>
    <t>HLGPQNJP2K</t>
  </si>
  <si>
    <t>MK1E3B/A</t>
  </si>
  <si>
    <t>2021-01-01</t>
  </si>
  <si>
    <t>MAC-45</t>
  </si>
  <si>
    <t>2022-07-11T13:39:18.340Z</t>
  </si>
  <si>
    <t>2023-05-04T14:32:25.852Z</t>
  </si>
  <si>
    <t xml:space="preserve">Albudrahman </t>
  </si>
  <si>
    <t>HLWX9M9VQW</t>
  </si>
  <si>
    <t>2022-04-13</t>
  </si>
  <si>
    <t>MAC-80</t>
  </si>
  <si>
    <t>Macbook Pro (14 inch, 2021)</t>
  </si>
  <si>
    <t>2022-10-06T08:49:37.815Z</t>
  </si>
  <si>
    <t>2023-05-04T14:32:06.351Z</t>
  </si>
  <si>
    <t>Bacem Ghali</t>
  </si>
  <si>
    <t>JYFNWXF4LV</t>
  </si>
  <si>
    <t>2023-04-01</t>
  </si>
  <si>
    <t>MAC-107</t>
  </si>
  <si>
    <t>2022-10-06T08:49:08.209Z</t>
  </si>
  <si>
    <t>2023-05-04T14:32:16.713Z</t>
  </si>
  <si>
    <t>Mohamed Almudallal</t>
  </si>
  <si>
    <t>LT9YJR2G43</t>
  </si>
  <si>
    <t>MAC-26</t>
  </si>
  <si>
    <t>2022-07-11T13:41:07.042Z</t>
  </si>
  <si>
    <t>2023-05-04T14:32:26.175Z</t>
  </si>
  <si>
    <t>Hisham Al-Falih</t>
  </si>
  <si>
    <t>R54W96M3VH</t>
  </si>
  <si>
    <t>MK1A3B/A</t>
  </si>
  <si>
    <t>2021-12-04</t>
  </si>
  <si>
    <t>MAC-74</t>
  </si>
  <si>
    <t>Adnan Naboulsi</t>
  </si>
  <si>
    <t>V0HG0PXQJR</t>
  </si>
  <si>
    <t>2022-11-01</t>
  </si>
  <si>
    <t>MAC-124</t>
  </si>
  <si>
    <t>2022-07-11T14:15:57.185Z</t>
  </si>
  <si>
    <t>2023-05-04T14:32:08.125Z</t>
  </si>
  <si>
    <t>Ibrahim Aldawsary</t>
  </si>
  <si>
    <t>XKJ2N6CMHQ</t>
  </si>
  <si>
    <t>MAC-40</t>
  </si>
  <si>
    <t>2022-07-11T14:12:58.272Z</t>
  </si>
  <si>
    <t>2023-05-04T14:32:18.687Z</t>
  </si>
  <si>
    <t>Saleh Al-Ghamdi</t>
  </si>
  <si>
    <t>XR6J7MR9YC</t>
  </si>
  <si>
    <t>2022-03-16</t>
  </si>
  <si>
    <t>MAC-125</t>
  </si>
  <si>
    <t>Hamad Alhomaidhi</t>
  </si>
  <si>
    <t>YDJ6L9KXHV</t>
  </si>
  <si>
    <t>2023-01-01</t>
  </si>
  <si>
    <t>PHE-171</t>
  </si>
  <si>
    <t>Unifi Access Hub</t>
  </si>
  <si>
    <t>DEV-997</t>
  </si>
  <si>
    <t>Office Equipment</t>
  </si>
  <si>
    <t>78:45:58:C4:3D:42</t>
  </si>
  <si>
    <t>Office Set Up</t>
  </si>
  <si>
    <t>PHE-152</t>
  </si>
  <si>
    <t>Nintendo Switch</t>
  </si>
  <si>
    <t>PHE-151</t>
  </si>
  <si>
    <t>Mobily Router DWR-2000M/MOB</t>
  </si>
  <si>
    <t>JX7GAM3005662</t>
  </si>
  <si>
    <t>PHE-63</t>
  </si>
  <si>
    <t>LG Monitor</t>
  </si>
  <si>
    <t>PHE-64</t>
  </si>
  <si>
    <t>PHE-65</t>
  </si>
  <si>
    <t>DEV-996</t>
  </si>
  <si>
    <t>PHE-145</t>
  </si>
  <si>
    <t>HP Printer</t>
  </si>
  <si>
    <t>C02GG2PGMD6R</t>
  </si>
  <si>
    <t>5C:60:BA:4F:68:39</t>
  </si>
  <si>
    <t>PHE-59</t>
  </si>
  <si>
    <t>Dell Monitor (unknown model)</t>
  </si>
  <si>
    <t>PHE-215</t>
  </si>
  <si>
    <t>Apple Mouse</t>
  </si>
  <si>
    <t>Peripheral</t>
  </si>
  <si>
    <t>PHE-214</t>
  </si>
  <si>
    <t>Apple Keyboard</t>
  </si>
  <si>
    <t>PHE-140</t>
  </si>
  <si>
    <t>APC Smart UPS</t>
  </si>
  <si>
    <t>AS2231192888</t>
  </si>
  <si>
    <t>Load Balancers</t>
  </si>
  <si>
    <t>IP Address</t>
  </si>
  <si>
    <t>Type</t>
  </si>
  <si>
    <t>Notes</t>
  </si>
  <si>
    <t>Resolvable DNS records</t>
  </si>
  <si>
    <t>sa01edge-gw</t>
  </si>
  <si>
    <t>193.122.82.235</t>
  </si>
  <si>
    <r>
      <rPr>
        <rFont val="Arial"/>
        <color theme="1"/>
        <sz val="10.0"/>
      </rPr>
      <t xml:space="preserve">link.sa.leantech.me
</t>
    </r>
    <r>
      <rPr>
        <rFont val="Arial"/>
        <color rgb="FF000000"/>
        <sz val="10.0"/>
      </rPr>
      <t>app.sa.leantech.me</t>
    </r>
  </si>
  <si>
    <t>sa01api-gw</t>
  </si>
  <si>
    <t>207.127.97.182</t>
  </si>
  <si>
    <t>api.sa.leantech.me</t>
  </si>
  <si>
    <t>sa01lean-gw</t>
  </si>
  <si>
    <t>150.230.243.13</t>
  </si>
  <si>
    <t>Public accesible only via VPN</t>
  </si>
  <si>
    <t>Used for internal usage only</t>
  </si>
  <si>
    <t>a0170ba6-b38c-4e54-b492-56246b00cf57</t>
  </si>
  <si>
    <t>193.122.87.73</t>
  </si>
  <si>
    <t>Subnets</t>
  </si>
  <si>
    <t>IPv4 CIDR block</t>
  </si>
  <si>
    <t>Availability Domain</t>
  </si>
  <si>
    <t>tf_sa01_public_subnet1</t>
  </si>
  <si>
    <t>172.35.40.0/24</t>
  </si>
  <si>
    <t>(ThVg:ME-JEDDAH-1-AD-1)</t>
  </si>
  <si>
    <t>tf_sa01_public_subnet2</t>
  </si>
  <si>
    <t>172.35.50.0/24</t>
  </si>
  <si>
    <t>tf_sa01_public_subnet3</t>
  </si>
  <si>
    <t>172.35.60.0/24</t>
  </si>
  <si>
    <t>tf_sa01_public_subnet4</t>
  </si>
  <si>
    <t>172.35.61.0/28</t>
  </si>
  <si>
    <t>tf_sa01_private_subnet1</t>
  </si>
  <si>
    <t>172.35.10.0/24</t>
  </si>
  <si>
    <t>tf_sa01_private_subnet2</t>
  </si>
  <si>
    <t>172.35.20.0/24</t>
  </si>
  <si>
    <t>tf_sa01_private_subnet3</t>
  </si>
  <si>
    <t>172.35.30.0/24</t>
  </si>
  <si>
    <t>tf_sa01_private_subnet4</t>
  </si>
  <si>
    <t>172.35.31.0/28</t>
  </si>
  <si>
    <t>sa01-pub_lb</t>
  </si>
  <si>
    <t>172.35.2.32/27</t>
  </si>
  <si>
    <t>sa01-int_lb</t>
  </si>
  <si>
    <t>172.35.2.0/27</t>
  </si>
  <si>
    <t>sa01-workers</t>
  </si>
  <si>
    <t>172.35.64.0/18</t>
  </si>
  <si>
    <t>sa01-control-plane</t>
  </si>
  <si>
    <t xml:space="preserve">172.35.0.16/29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</si>
</sst>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 yyyy"/>
    <numFmt numFmtId="165" formatCode="mmmm yyyy"/>
    <numFmt numFmtId="166" formatCode="[$£]#,##0.00"/>
    <numFmt numFmtId="167" formatCode="#,##0.0"/>
    <numFmt numFmtId="168" formatCode="&quot;$&quot;#,##0.00"/>
    <numFmt numFmtId="169" formatCode="mm/dd/yyyy"/>
    <numFmt numFmtId="170" formatCode="m/d/yyyy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Helvetica Neue"/>
    </font>
    <font>
      <sz val="10.0"/>
      <color rgb="FF161513"/>
      <name val="Helvetica Neue"/>
    </font>
    <font>
      <sz val="9.0"/>
      <color rgb="FF000000"/>
      <name val="Menlo"/>
    </font>
    <font>
      <b/>
      <color theme="1"/>
      <name val="Arial"/>
    </font>
    <font>
      <color theme="1"/>
      <name val="Arial"/>
    </font>
    <font>
      <color theme="1"/>
      <name val="Inherit"/>
    </font>
    <font>
      <color theme="1"/>
      <name val="-webkit-standard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DFDFC"/>
        <bgColor rgb="FFFDFDFC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F5FAFC"/>
        <bgColor rgb="FFF5FAF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1" fillId="2" fontId="3" numFmtId="0" xfId="0" applyBorder="1" applyFill="1" applyFont="1"/>
    <xf borderId="0" fillId="0" fontId="4" numFmtId="0" xfId="0" applyFont="1"/>
    <xf borderId="1" fillId="0" fontId="5" numFmtId="0" xfId="0" applyAlignment="1" applyBorder="1" applyFont="1">
      <alignment vertical="top"/>
    </xf>
    <xf borderId="1" fillId="3" fontId="6" numFmtId="0" xfId="0" applyBorder="1" applyFill="1" applyFont="1"/>
    <xf borderId="1" fillId="0" fontId="4" numFmtId="0" xfId="0" applyBorder="1" applyFont="1"/>
    <xf borderId="1" fillId="0" fontId="4" numFmtId="0" xfId="0" applyAlignment="1" applyBorder="1" applyFont="1">
      <alignment horizontal="right"/>
    </xf>
    <xf borderId="0" fillId="0" fontId="7" numFmtId="0" xfId="0" applyFont="1"/>
    <xf borderId="1" fillId="0" fontId="8" numFmtId="0" xfId="0" applyAlignment="1" applyBorder="1" applyFont="1">
      <alignment horizontal="center" vertical="bottom"/>
    </xf>
    <xf borderId="1" fillId="0" fontId="8" numFmtId="49" xfId="0" applyAlignment="1" applyBorder="1" applyFont="1" applyNumberFormat="1">
      <alignment horizontal="center" vertical="bottom"/>
    </xf>
    <xf borderId="1" fillId="0" fontId="8" numFmtId="166" xfId="0" applyAlignment="1" applyBorder="1" applyFont="1" applyNumberFormat="1">
      <alignment horizontal="center" vertical="bottom"/>
    </xf>
    <xf borderId="1" fillId="0" fontId="8" numFmtId="167" xfId="0" applyAlignment="1" applyBorder="1" applyFont="1" applyNumberFormat="1">
      <alignment horizontal="center" vertical="bottom"/>
    </xf>
    <xf borderId="1" fillId="0" fontId="8" numFmtId="3" xfId="0" applyAlignment="1" applyBorder="1" applyFont="1" applyNumberFormat="1">
      <alignment horizontal="center" vertical="bottom"/>
    </xf>
    <xf borderId="1" fillId="0" fontId="9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  <xf borderId="1" fillId="0" fontId="9" numFmtId="49" xfId="0" applyAlignment="1" applyBorder="1" applyFont="1" applyNumberFormat="1">
      <alignment vertical="bottom"/>
    </xf>
    <xf borderId="1" fillId="0" fontId="9" numFmtId="166" xfId="0" applyAlignment="1" applyBorder="1" applyFont="1" applyNumberFormat="1">
      <alignment horizontal="right" vertical="bottom"/>
    </xf>
    <xf borderId="1" fillId="0" fontId="9" numFmtId="168" xfId="0" applyAlignment="1" applyBorder="1" applyFont="1" applyNumberFormat="1">
      <alignment horizontal="right" vertical="bottom"/>
    </xf>
    <xf borderId="1" fillId="0" fontId="9" numFmtId="166" xfId="0" applyAlignment="1" applyBorder="1" applyFont="1" applyNumberFormat="1">
      <alignment vertical="bottom"/>
    </xf>
    <xf borderId="1" fillId="0" fontId="9" numFmtId="0" xfId="0" applyAlignment="1" applyBorder="1" applyFont="1">
      <alignment horizontal="center" vertical="bottom"/>
    </xf>
    <xf borderId="1" fillId="0" fontId="9" numFmtId="169" xfId="0" applyAlignment="1" applyBorder="1" applyFont="1" applyNumberFormat="1">
      <alignment horizontal="right" vertical="bottom"/>
    </xf>
    <xf borderId="1" fillId="0" fontId="9" numFmtId="167" xfId="0" applyAlignment="1" applyBorder="1" applyFont="1" applyNumberFormat="1">
      <alignment horizontal="center" vertical="bottom"/>
    </xf>
    <xf borderId="1" fillId="0" fontId="9" numFmtId="3" xfId="0" applyAlignment="1" applyBorder="1" applyFont="1" applyNumberFormat="1">
      <alignment horizontal="center" vertical="bottom"/>
    </xf>
    <xf borderId="1" fillId="4" fontId="9" numFmtId="3" xfId="0" applyAlignment="1" applyBorder="1" applyFill="1" applyFont="1" applyNumberFormat="1">
      <alignment horizontal="center" vertical="bottom"/>
    </xf>
    <xf borderId="1" fillId="0" fontId="9" numFmtId="170" xfId="0" applyAlignment="1" applyBorder="1" applyFont="1" applyNumberFormat="1">
      <alignment horizontal="right" vertical="bottom"/>
    </xf>
    <xf borderId="1" fillId="0" fontId="9" numFmtId="0" xfId="0" applyAlignment="1" applyBorder="1" applyFont="1">
      <alignment horizontal="right" vertical="bottom"/>
    </xf>
    <xf borderId="1" fillId="0" fontId="11" numFmtId="0" xfId="0" applyAlignment="1" applyBorder="1" applyFont="1">
      <alignment vertical="bottom"/>
    </xf>
    <xf borderId="1" fillId="5" fontId="9" numFmtId="3" xfId="0" applyAlignment="1" applyBorder="1" applyFill="1" applyFont="1" applyNumberFormat="1">
      <alignment horizontal="center" vertical="bottom"/>
    </xf>
    <xf borderId="1" fillId="6" fontId="9" numFmtId="49" xfId="0" applyAlignment="1" applyBorder="1" applyFill="1" applyFont="1" applyNumberFormat="1">
      <alignment vertical="bottom"/>
    </xf>
    <xf borderId="1" fillId="7" fontId="9" numFmtId="3" xfId="0" applyAlignment="1" applyBorder="1" applyFill="1" applyFont="1" applyNumberFormat="1">
      <alignment horizontal="center" vertical="bottom"/>
    </xf>
    <xf borderId="1" fillId="6" fontId="9" numFmtId="0" xfId="0" applyAlignment="1" applyBorder="1" applyFont="1">
      <alignment vertical="bottom"/>
    </xf>
    <xf borderId="1" fillId="8" fontId="3" numFmtId="0" xfId="0" applyBorder="1" applyFill="1" applyFont="1"/>
    <xf borderId="2" fillId="8" fontId="3" numFmtId="0" xfId="0" applyBorder="1" applyFont="1"/>
    <xf borderId="2" fillId="2" fontId="3" numFmtId="0" xfId="0" applyBorder="1" applyFont="1"/>
    <xf borderId="3" fillId="0" fontId="4" numFmtId="0" xfId="0" applyBorder="1" applyFont="1"/>
    <xf borderId="4" fillId="0" fontId="4" numFmtId="0" xfId="0" applyBorder="1" applyFont="1"/>
    <xf borderId="4" fillId="0" fontId="4" numFmtId="0" xfId="0" applyAlignment="1" applyBorder="1" applyFont="1">
      <alignment horizontal="right"/>
    </xf>
    <xf borderId="5" fillId="9" fontId="5" numFmtId="0" xfId="0" applyBorder="1" applyFill="1" applyFont="1"/>
    <xf borderId="6" fillId="9" fontId="6" numFmtId="0" xfId="0" applyBorder="1" applyFont="1"/>
    <xf borderId="4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1" fillId="9" fontId="6" numFmtId="0" xfId="0" applyBorder="1" applyFont="1"/>
    <xf borderId="7" fillId="0" fontId="4" numFmtId="0" xfId="0" applyBorder="1" applyFont="1"/>
    <xf borderId="5" fillId="8" fontId="3" numFmtId="0" xfId="0" applyBorder="1" applyFont="1"/>
    <xf borderId="6" fillId="8" fontId="3" numFmtId="0" xfId="0" applyBorder="1" applyFont="1"/>
    <xf borderId="6" fillId="2" fontId="3" numFmtId="0" xfId="0" applyBorder="1" applyFont="1"/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</cols>
  <sheetData>
    <row r="2">
      <c r="A2" s="1" t="s">
        <v>0</v>
      </c>
      <c r="B2" s="2">
        <v>45736.0</v>
      </c>
    </row>
    <row r="3">
      <c r="A3" s="1" t="s">
        <v>1</v>
      </c>
      <c r="B3" s="3">
        <v>45778.0</v>
      </c>
    </row>
    <row r="4">
      <c r="A4" s="1" t="s">
        <v>2</v>
      </c>
      <c r="B4" s="4" t="s">
        <v>3</v>
      </c>
    </row>
    <row r="5">
      <c r="A5" s="1" t="s">
        <v>4</v>
      </c>
      <c r="B5" s="4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8.5"/>
    <col customWidth="1" min="2" max="2" width="16.13"/>
    <col customWidth="1" min="7" max="8" width="17.38"/>
    <col customWidth="1" min="9" max="9" width="16.0"/>
    <col customWidth="1" min="10" max="10" width="17.13"/>
    <col customWidth="1" min="14" max="15" width="32.88"/>
    <col customWidth="1" min="18" max="18" width="17.0"/>
  </cols>
  <sheetData>
    <row r="1" ht="15.75" customHeight="1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5" t="s">
        <v>18</v>
      </c>
      <c r="N1" s="5" t="s">
        <v>19</v>
      </c>
      <c r="O1" s="5" t="s">
        <v>20</v>
      </c>
      <c r="P1" s="5" t="s">
        <v>21</v>
      </c>
      <c r="Q1" s="5" t="s">
        <v>22</v>
      </c>
      <c r="R1" s="5" t="s">
        <v>23</v>
      </c>
      <c r="S1" s="5" t="s">
        <v>24</v>
      </c>
      <c r="T1" s="5" t="s">
        <v>25</v>
      </c>
      <c r="U1" s="5" t="s">
        <v>26</v>
      </c>
      <c r="V1" s="5" t="s">
        <v>27</v>
      </c>
      <c r="W1" s="5" t="s">
        <v>28</v>
      </c>
      <c r="X1" s="6"/>
      <c r="Y1" s="6"/>
      <c r="Z1" s="6"/>
      <c r="AA1" s="6"/>
      <c r="AB1" s="6"/>
      <c r="AC1" s="6"/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</row>
    <row r="2" ht="15.75" customHeight="1">
      <c r="A2" s="7" t="s">
        <v>35</v>
      </c>
      <c r="B2" s="8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10" t="s">
        <v>41</v>
      </c>
      <c r="H2" s="10">
        <v>2.0</v>
      </c>
      <c r="I2" s="10">
        <v>1.0</v>
      </c>
      <c r="J2" s="10">
        <v>1.0</v>
      </c>
      <c r="K2" s="9" t="s">
        <v>31</v>
      </c>
      <c r="L2" s="9" t="s">
        <v>30</v>
      </c>
      <c r="M2" s="9" t="s">
        <v>32</v>
      </c>
      <c r="N2" s="9" t="s">
        <v>42</v>
      </c>
      <c r="O2" s="9" t="s">
        <v>43</v>
      </c>
      <c r="P2" s="9" t="s">
        <v>33</v>
      </c>
      <c r="Q2" s="9" t="s">
        <v>34</v>
      </c>
      <c r="R2" s="9" t="s">
        <v>44</v>
      </c>
      <c r="S2" s="9" t="s">
        <v>45</v>
      </c>
      <c r="T2" s="9" t="s">
        <v>44</v>
      </c>
      <c r="U2" s="9"/>
      <c r="V2" s="9" t="s">
        <v>46</v>
      </c>
      <c r="W2" s="9"/>
      <c r="X2" s="6"/>
      <c r="Y2" s="6"/>
      <c r="Z2" s="6"/>
      <c r="AA2" s="6"/>
      <c r="AB2" s="6"/>
      <c r="AC2" s="6"/>
      <c r="AD2" s="6" t="s">
        <v>47</v>
      </c>
      <c r="AE2" s="6" t="s">
        <v>48</v>
      </c>
      <c r="AF2" s="6" t="s">
        <v>49</v>
      </c>
      <c r="AG2" s="6" t="s">
        <v>50</v>
      </c>
      <c r="AH2" s="6" t="s">
        <v>51</v>
      </c>
      <c r="AI2" s="6" t="s">
        <v>52</v>
      </c>
    </row>
    <row r="3" ht="15.75" customHeight="1">
      <c r="A3" s="7" t="s">
        <v>53</v>
      </c>
      <c r="B3" s="7" t="s">
        <v>54</v>
      </c>
      <c r="C3" s="9" t="s">
        <v>37</v>
      </c>
      <c r="D3" s="7" t="s">
        <v>55</v>
      </c>
      <c r="E3" s="9" t="s">
        <v>39</v>
      </c>
      <c r="F3" s="9" t="s">
        <v>40</v>
      </c>
      <c r="G3" s="10" t="s">
        <v>41</v>
      </c>
      <c r="H3" s="10">
        <v>1.0</v>
      </c>
      <c r="I3" s="10">
        <v>2.0</v>
      </c>
      <c r="J3" s="10">
        <v>2.0</v>
      </c>
      <c r="K3" s="9" t="s">
        <v>31</v>
      </c>
      <c r="L3" s="9" t="s">
        <v>30</v>
      </c>
      <c r="M3" s="9" t="s">
        <v>32</v>
      </c>
      <c r="N3" s="9" t="s">
        <v>42</v>
      </c>
      <c r="O3" s="9" t="s">
        <v>56</v>
      </c>
      <c r="P3" s="9" t="s">
        <v>51</v>
      </c>
      <c r="Q3" s="9" t="s">
        <v>34</v>
      </c>
      <c r="R3" s="9" t="s">
        <v>41</v>
      </c>
      <c r="S3" s="9" t="s">
        <v>45</v>
      </c>
      <c r="T3" s="9" t="s">
        <v>44</v>
      </c>
      <c r="U3" s="9"/>
      <c r="V3" s="9" t="s">
        <v>46</v>
      </c>
      <c r="W3" s="9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ht="15.75" customHeight="1">
      <c r="A4" s="7" t="s">
        <v>57</v>
      </c>
      <c r="B4" s="7" t="s">
        <v>54</v>
      </c>
      <c r="C4" s="9" t="s">
        <v>37</v>
      </c>
      <c r="D4" s="7" t="s">
        <v>55</v>
      </c>
      <c r="E4" s="9" t="s">
        <v>39</v>
      </c>
      <c r="F4" s="9" t="s">
        <v>40</v>
      </c>
      <c r="G4" s="10" t="s">
        <v>41</v>
      </c>
      <c r="H4" s="10">
        <v>1.0</v>
      </c>
      <c r="I4" s="10">
        <v>2.0</v>
      </c>
      <c r="J4" s="10">
        <v>2.0</v>
      </c>
      <c r="K4" s="9" t="s">
        <v>31</v>
      </c>
      <c r="L4" s="9" t="s">
        <v>30</v>
      </c>
      <c r="M4" s="9" t="s">
        <v>32</v>
      </c>
      <c r="N4" s="9" t="s">
        <v>42</v>
      </c>
      <c r="O4" s="9" t="s">
        <v>56</v>
      </c>
      <c r="P4" s="9" t="s">
        <v>51</v>
      </c>
      <c r="Q4" s="9" t="s">
        <v>34</v>
      </c>
      <c r="R4" s="9" t="s">
        <v>41</v>
      </c>
      <c r="S4" s="9" t="s">
        <v>45</v>
      </c>
      <c r="T4" s="9" t="s">
        <v>44</v>
      </c>
      <c r="U4" s="9"/>
      <c r="V4" s="9" t="s">
        <v>46</v>
      </c>
      <c r="W4" s="9"/>
      <c r="X4" s="6"/>
      <c r="Y4" s="6"/>
      <c r="Z4" s="6"/>
      <c r="AA4" s="6"/>
      <c r="AB4" s="6"/>
      <c r="AC4" s="6"/>
      <c r="AD4" s="6"/>
      <c r="AE4" s="6" t="s">
        <v>41</v>
      </c>
      <c r="AF4" s="6" t="s">
        <v>45</v>
      </c>
      <c r="AG4" s="6" t="s">
        <v>46</v>
      </c>
      <c r="AH4" s="6"/>
      <c r="AI4" s="6"/>
    </row>
    <row r="5" ht="15.75" customHeight="1">
      <c r="A5" s="7" t="s">
        <v>58</v>
      </c>
      <c r="B5" s="7" t="s">
        <v>54</v>
      </c>
      <c r="C5" s="9" t="s">
        <v>37</v>
      </c>
      <c r="D5" s="7" t="s">
        <v>55</v>
      </c>
      <c r="E5" s="9" t="s">
        <v>39</v>
      </c>
      <c r="F5" s="9" t="s">
        <v>40</v>
      </c>
      <c r="G5" s="10" t="s">
        <v>41</v>
      </c>
      <c r="H5" s="10">
        <v>1.0</v>
      </c>
      <c r="I5" s="10">
        <v>2.0</v>
      </c>
      <c r="J5" s="10">
        <v>2.0</v>
      </c>
      <c r="K5" s="9" t="s">
        <v>31</v>
      </c>
      <c r="L5" s="9" t="s">
        <v>30</v>
      </c>
      <c r="M5" s="9" t="s">
        <v>32</v>
      </c>
      <c r="N5" s="9" t="s">
        <v>42</v>
      </c>
      <c r="O5" s="9" t="s">
        <v>56</v>
      </c>
      <c r="P5" s="9" t="s">
        <v>51</v>
      </c>
      <c r="Q5" s="9" t="s">
        <v>34</v>
      </c>
      <c r="R5" s="9" t="s">
        <v>41</v>
      </c>
      <c r="S5" s="9" t="s">
        <v>45</v>
      </c>
      <c r="T5" s="9" t="s">
        <v>44</v>
      </c>
      <c r="U5" s="9"/>
      <c r="V5" s="9" t="s">
        <v>46</v>
      </c>
      <c r="W5" s="9"/>
      <c r="X5" s="6"/>
      <c r="Y5" s="6"/>
      <c r="Z5" s="6"/>
      <c r="AA5" s="6"/>
      <c r="AB5" s="6"/>
      <c r="AC5" s="6"/>
      <c r="AD5" s="6"/>
      <c r="AE5" s="6" t="s">
        <v>44</v>
      </c>
      <c r="AF5" s="6" t="s">
        <v>59</v>
      </c>
      <c r="AG5" s="6" t="s">
        <v>60</v>
      </c>
      <c r="AH5" s="6"/>
      <c r="AI5" s="6"/>
    </row>
    <row r="6" ht="15.75" customHeight="1">
      <c r="A6" s="7" t="s">
        <v>61</v>
      </c>
      <c r="B6" s="7" t="s">
        <v>54</v>
      </c>
      <c r="C6" s="9" t="s">
        <v>37</v>
      </c>
      <c r="D6" s="7" t="s">
        <v>55</v>
      </c>
      <c r="E6" s="9" t="s">
        <v>39</v>
      </c>
      <c r="F6" s="9" t="s">
        <v>40</v>
      </c>
      <c r="G6" s="10" t="s">
        <v>41</v>
      </c>
      <c r="H6" s="10">
        <v>4.0</v>
      </c>
      <c r="I6" s="10">
        <v>3.0</v>
      </c>
      <c r="J6" s="10">
        <v>4.0</v>
      </c>
      <c r="K6" s="9" t="s">
        <v>31</v>
      </c>
      <c r="L6" s="9" t="s">
        <v>30</v>
      </c>
      <c r="M6" s="9" t="s">
        <v>32</v>
      </c>
      <c r="N6" s="9" t="s">
        <v>42</v>
      </c>
      <c r="O6" s="9" t="s">
        <v>62</v>
      </c>
      <c r="P6" s="9" t="s">
        <v>33</v>
      </c>
      <c r="Q6" s="9" t="s">
        <v>34</v>
      </c>
      <c r="R6" s="9" t="s">
        <v>41</v>
      </c>
      <c r="S6" s="9" t="s">
        <v>45</v>
      </c>
      <c r="T6" s="9" t="s">
        <v>44</v>
      </c>
      <c r="U6" s="9"/>
      <c r="V6" s="9" t="s">
        <v>46</v>
      </c>
      <c r="W6" s="9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ht="15.75" customHeight="1">
      <c r="A7" s="7" t="s">
        <v>63</v>
      </c>
      <c r="B7" s="7" t="s">
        <v>54</v>
      </c>
      <c r="C7" s="9" t="s">
        <v>37</v>
      </c>
      <c r="D7" s="7" t="s">
        <v>55</v>
      </c>
      <c r="E7" s="9" t="s">
        <v>39</v>
      </c>
      <c r="F7" s="9" t="s">
        <v>40</v>
      </c>
      <c r="G7" s="10" t="s">
        <v>41</v>
      </c>
      <c r="H7" s="10">
        <v>4.0</v>
      </c>
      <c r="I7" s="10">
        <v>3.0</v>
      </c>
      <c r="J7" s="10">
        <v>4.0</v>
      </c>
      <c r="K7" s="9" t="s">
        <v>31</v>
      </c>
      <c r="L7" s="9" t="s">
        <v>30</v>
      </c>
      <c r="M7" s="9" t="s">
        <v>32</v>
      </c>
      <c r="N7" s="9" t="s">
        <v>42</v>
      </c>
      <c r="O7" s="9" t="s">
        <v>62</v>
      </c>
      <c r="P7" s="9" t="s">
        <v>33</v>
      </c>
      <c r="Q7" s="9" t="s">
        <v>34</v>
      </c>
      <c r="R7" s="9" t="s">
        <v>41</v>
      </c>
      <c r="S7" s="9" t="s">
        <v>45</v>
      </c>
      <c r="T7" s="9" t="s">
        <v>44</v>
      </c>
      <c r="U7" s="9"/>
      <c r="V7" s="9" t="s">
        <v>46</v>
      </c>
      <c r="W7" s="9"/>
      <c r="X7" s="6"/>
      <c r="Y7" s="6"/>
      <c r="Z7" s="6"/>
      <c r="AA7" s="6"/>
      <c r="AB7" s="6"/>
      <c r="AC7" s="6"/>
      <c r="AD7" s="6" t="s">
        <v>64</v>
      </c>
      <c r="AE7" s="6" t="s">
        <v>65</v>
      </c>
      <c r="AF7" s="6" t="s">
        <v>66</v>
      </c>
      <c r="AG7" s="6" t="s">
        <v>67</v>
      </c>
      <c r="AH7" s="6"/>
      <c r="AI7" s="6"/>
    </row>
    <row r="8" ht="15.75" customHeight="1">
      <c r="A8" s="9" t="s">
        <v>68</v>
      </c>
      <c r="B8" s="7" t="s">
        <v>54</v>
      </c>
      <c r="C8" s="9" t="s">
        <v>37</v>
      </c>
      <c r="D8" s="7" t="s">
        <v>55</v>
      </c>
      <c r="E8" s="9" t="s">
        <v>39</v>
      </c>
      <c r="F8" s="9" t="s">
        <v>40</v>
      </c>
      <c r="G8" s="10" t="s">
        <v>41</v>
      </c>
      <c r="H8" s="10">
        <v>3.0</v>
      </c>
      <c r="I8" s="10">
        <v>2.0</v>
      </c>
      <c r="J8" s="10">
        <v>3.0</v>
      </c>
      <c r="K8" s="9" t="s">
        <v>31</v>
      </c>
      <c r="L8" s="9" t="s">
        <v>30</v>
      </c>
      <c r="M8" s="9" t="s">
        <v>32</v>
      </c>
      <c r="N8" s="9" t="s">
        <v>42</v>
      </c>
      <c r="O8" s="9" t="s">
        <v>69</v>
      </c>
      <c r="P8" s="9" t="s">
        <v>51</v>
      </c>
      <c r="Q8" s="9" t="s">
        <v>34</v>
      </c>
      <c r="R8" s="9" t="s">
        <v>41</v>
      </c>
      <c r="S8" s="9" t="s">
        <v>45</v>
      </c>
      <c r="T8" s="9" t="s">
        <v>44</v>
      </c>
      <c r="U8" s="9"/>
      <c r="V8" s="9" t="s">
        <v>46</v>
      </c>
      <c r="W8" s="9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ht="15.75" customHeight="1">
      <c r="A9" s="9" t="s">
        <v>70</v>
      </c>
      <c r="B9" s="7" t="s">
        <v>54</v>
      </c>
      <c r="C9" s="9" t="s">
        <v>37</v>
      </c>
      <c r="D9" s="7" t="s">
        <v>55</v>
      </c>
      <c r="E9" s="9" t="s">
        <v>39</v>
      </c>
      <c r="F9" s="9" t="s">
        <v>40</v>
      </c>
      <c r="G9" s="10" t="s">
        <v>41</v>
      </c>
      <c r="H9" s="10">
        <v>3.0</v>
      </c>
      <c r="I9" s="10">
        <v>2.0</v>
      </c>
      <c r="J9" s="10">
        <v>3.0</v>
      </c>
      <c r="K9" s="9" t="s">
        <v>31</v>
      </c>
      <c r="L9" s="9" t="s">
        <v>30</v>
      </c>
      <c r="M9" s="9" t="s">
        <v>32</v>
      </c>
      <c r="N9" s="9" t="s">
        <v>42</v>
      </c>
      <c r="O9" s="9" t="s">
        <v>69</v>
      </c>
      <c r="P9" s="9" t="s">
        <v>51</v>
      </c>
      <c r="Q9" s="9" t="s">
        <v>34</v>
      </c>
      <c r="R9" s="9" t="s">
        <v>41</v>
      </c>
      <c r="S9" s="9" t="s">
        <v>45</v>
      </c>
      <c r="T9" s="9" t="s">
        <v>44</v>
      </c>
      <c r="U9" s="9"/>
      <c r="V9" s="9" t="s">
        <v>46</v>
      </c>
      <c r="W9" s="9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ht="15.75" customHeight="1">
      <c r="A10" s="9" t="s">
        <v>71</v>
      </c>
      <c r="B10" s="7" t="s">
        <v>54</v>
      </c>
      <c r="C10" s="9" t="s">
        <v>37</v>
      </c>
      <c r="D10" s="7" t="s">
        <v>55</v>
      </c>
      <c r="E10" s="9" t="s">
        <v>39</v>
      </c>
      <c r="F10" s="9" t="s">
        <v>40</v>
      </c>
      <c r="G10" s="10" t="s">
        <v>41</v>
      </c>
      <c r="H10" s="10">
        <v>3.0</v>
      </c>
      <c r="I10" s="10">
        <v>2.0</v>
      </c>
      <c r="J10" s="10">
        <v>3.0</v>
      </c>
      <c r="K10" s="9" t="s">
        <v>31</v>
      </c>
      <c r="L10" s="9" t="s">
        <v>30</v>
      </c>
      <c r="M10" s="9" t="s">
        <v>32</v>
      </c>
      <c r="N10" s="9" t="s">
        <v>42</v>
      </c>
      <c r="O10" s="9" t="s">
        <v>69</v>
      </c>
      <c r="P10" s="9" t="s">
        <v>51</v>
      </c>
      <c r="Q10" s="9" t="s">
        <v>34</v>
      </c>
      <c r="R10" s="9" t="s">
        <v>41</v>
      </c>
      <c r="S10" s="9" t="s">
        <v>45</v>
      </c>
      <c r="T10" s="9" t="s">
        <v>44</v>
      </c>
      <c r="U10" s="9"/>
      <c r="V10" s="9" t="s">
        <v>46</v>
      </c>
      <c r="W10" s="9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ht="15.75" customHeight="1">
      <c r="A11" s="9" t="s">
        <v>72</v>
      </c>
      <c r="B11" s="7" t="s">
        <v>54</v>
      </c>
      <c r="C11" s="9" t="s">
        <v>37</v>
      </c>
      <c r="D11" s="7" t="s">
        <v>55</v>
      </c>
      <c r="E11" s="9" t="s">
        <v>39</v>
      </c>
      <c r="F11" s="9" t="s">
        <v>40</v>
      </c>
      <c r="G11" s="10" t="s">
        <v>41</v>
      </c>
      <c r="H11" s="10">
        <v>3.0</v>
      </c>
      <c r="I11" s="10">
        <v>2.0</v>
      </c>
      <c r="J11" s="10">
        <v>3.0</v>
      </c>
      <c r="K11" s="9" t="s">
        <v>31</v>
      </c>
      <c r="L11" s="9" t="s">
        <v>30</v>
      </c>
      <c r="M11" s="9" t="s">
        <v>32</v>
      </c>
      <c r="N11" s="9" t="s">
        <v>42</v>
      </c>
      <c r="O11" s="9" t="s">
        <v>69</v>
      </c>
      <c r="P11" s="9" t="s">
        <v>51</v>
      </c>
      <c r="Q11" s="9" t="s">
        <v>34</v>
      </c>
      <c r="R11" s="9" t="s">
        <v>41</v>
      </c>
      <c r="S11" s="9" t="s">
        <v>45</v>
      </c>
      <c r="T11" s="9" t="s">
        <v>44</v>
      </c>
      <c r="U11" s="9"/>
      <c r="V11" s="9" t="s">
        <v>46</v>
      </c>
      <c r="W11" s="9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ht="15.75" customHeight="1">
      <c r="A12" s="9" t="s">
        <v>73</v>
      </c>
      <c r="B12" s="7" t="s">
        <v>54</v>
      </c>
      <c r="C12" s="9" t="s">
        <v>37</v>
      </c>
      <c r="D12" s="7" t="s">
        <v>55</v>
      </c>
      <c r="E12" s="9" t="s">
        <v>39</v>
      </c>
      <c r="F12" s="9" t="s">
        <v>40</v>
      </c>
      <c r="G12" s="10" t="s">
        <v>41</v>
      </c>
      <c r="H12" s="10">
        <v>3.0</v>
      </c>
      <c r="I12" s="10">
        <v>2.0</v>
      </c>
      <c r="J12" s="10">
        <v>3.0</v>
      </c>
      <c r="K12" s="9" t="s">
        <v>31</v>
      </c>
      <c r="L12" s="9" t="s">
        <v>30</v>
      </c>
      <c r="M12" s="9" t="s">
        <v>32</v>
      </c>
      <c r="N12" s="9" t="s">
        <v>42</v>
      </c>
      <c r="O12" s="9" t="s">
        <v>69</v>
      </c>
      <c r="P12" s="9" t="s">
        <v>51</v>
      </c>
      <c r="Q12" s="9" t="s">
        <v>34</v>
      </c>
      <c r="R12" s="9" t="s">
        <v>41</v>
      </c>
      <c r="S12" s="9" t="s">
        <v>45</v>
      </c>
      <c r="T12" s="9" t="s">
        <v>44</v>
      </c>
      <c r="U12" s="9"/>
      <c r="V12" s="9" t="s">
        <v>46</v>
      </c>
      <c r="W12" s="9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ht="15.75" customHeight="1">
      <c r="A13" s="9" t="s">
        <v>74</v>
      </c>
      <c r="B13" s="7" t="s">
        <v>54</v>
      </c>
      <c r="C13" s="9" t="s">
        <v>37</v>
      </c>
      <c r="D13" s="7" t="s">
        <v>55</v>
      </c>
      <c r="E13" s="9" t="s">
        <v>39</v>
      </c>
      <c r="F13" s="9" t="s">
        <v>40</v>
      </c>
      <c r="G13" s="10" t="s">
        <v>41</v>
      </c>
      <c r="H13" s="10">
        <v>3.0</v>
      </c>
      <c r="I13" s="10">
        <v>2.0</v>
      </c>
      <c r="J13" s="10">
        <v>3.0</v>
      </c>
      <c r="K13" s="9" t="s">
        <v>31</v>
      </c>
      <c r="L13" s="9" t="s">
        <v>30</v>
      </c>
      <c r="M13" s="9" t="s">
        <v>32</v>
      </c>
      <c r="N13" s="9" t="s">
        <v>42</v>
      </c>
      <c r="O13" s="9" t="s">
        <v>69</v>
      </c>
      <c r="P13" s="9" t="s">
        <v>51</v>
      </c>
      <c r="Q13" s="9" t="s">
        <v>34</v>
      </c>
      <c r="R13" s="9" t="s">
        <v>41</v>
      </c>
      <c r="S13" s="9" t="s">
        <v>45</v>
      </c>
      <c r="T13" s="9" t="s">
        <v>44</v>
      </c>
      <c r="U13" s="9"/>
      <c r="V13" s="9" t="s">
        <v>46</v>
      </c>
      <c r="W13" s="9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ht="15.75" customHeight="1">
      <c r="A14" s="9" t="s">
        <v>75</v>
      </c>
      <c r="B14" s="7" t="s">
        <v>54</v>
      </c>
      <c r="C14" s="9" t="s">
        <v>37</v>
      </c>
      <c r="D14" s="7" t="s">
        <v>55</v>
      </c>
      <c r="E14" s="9" t="s">
        <v>39</v>
      </c>
      <c r="F14" s="9" t="s">
        <v>40</v>
      </c>
      <c r="G14" s="10" t="s">
        <v>41</v>
      </c>
      <c r="H14" s="10">
        <v>3.0</v>
      </c>
      <c r="I14" s="10">
        <v>2.0</v>
      </c>
      <c r="J14" s="10">
        <v>3.0</v>
      </c>
      <c r="K14" s="9" t="s">
        <v>31</v>
      </c>
      <c r="L14" s="9" t="s">
        <v>30</v>
      </c>
      <c r="M14" s="9" t="s">
        <v>32</v>
      </c>
      <c r="N14" s="9" t="s">
        <v>42</v>
      </c>
      <c r="O14" s="9" t="s">
        <v>69</v>
      </c>
      <c r="P14" s="9" t="s">
        <v>51</v>
      </c>
      <c r="Q14" s="9" t="s">
        <v>34</v>
      </c>
      <c r="R14" s="9" t="s">
        <v>41</v>
      </c>
      <c r="S14" s="9" t="s">
        <v>45</v>
      </c>
      <c r="T14" s="9" t="s">
        <v>44</v>
      </c>
      <c r="U14" s="9"/>
      <c r="V14" s="9" t="s">
        <v>46</v>
      </c>
      <c r="W14" s="9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ht="15.75" customHeight="1">
      <c r="A15" s="9" t="s">
        <v>76</v>
      </c>
      <c r="B15" s="7" t="s">
        <v>54</v>
      </c>
      <c r="C15" s="9" t="s">
        <v>37</v>
      </c>
      <c r="D15" s="7" t="s">
        <v>55</v>
      </c>
      <c r="E15" s="9" t="s">
        <v>39</v>
      </c>
      <c r="F15" s="9" t="s">
        <v>40</v>
      </c>
      <c r="G15" s="10" t="s">
        <v>41</v>
      </c>
      <c r="H15" s="10">
        <v>3.0</v>
      </c>
      <c r="I15" s="10">
        <v>2.0</v>
      </c>
      <c r="J15" s="10">
        <v>3.0</v>
      </c>
      <c r="K15" s="9" t="s">
        <v>31</v>
      </c>
      <c r="L15" s="9" t="s">
        <v>30</v>
      </c>
      <c r="M15" s="9" t="s">
        <v>32</v>
      </c>
      <c r="N15" s="9" t="s">
        <v>42</v>
      </c>
      <c r="O15" s="9" t="s">
        <v>69</v>
      </c>
      <c r="P15" s="9" t="s">
        <v>51</v>
      </c>
      <c r="Q15" s="9" t="s">
        <v>34</v>
      </c>
      <c r="R15" s="9" t="s">
        <v>41</v>
      </c>
      <c r="S15" s="9" t="s">
        <v>45</v>
      </c>
      <c r="T15" s="9" t="s">
        <v>44</v>
      </c>
      <c r="U15" s="9"/>
      <c r="V15" s="9" t="s">
        <v>46</v>
      </c>
      <c r="W15" s="9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ht="15.75" customHeight="1">
      <c r="A16" s="9" t="s">
        <v>77</v>
      </c>
      <c r="B16" s="7"/>
      <c r="C16" s="9" t="s">
        <v>37</v>
      </c>
      <c r="D16" s="7" t="s">
        <v>55</v>
      </c>
      <c r="E16" s="9" t="s">
        <v>39</v>
      </c>
      <c r="F16" s="9" t="s">
        <v>40</v>
      </c>
      <c r="G16" s="10" t="s">
        <v>41</v>
      </c>
      <c r="H16" s="10">
        <v>3.0</v>
      </c>
      <c r="I16" s="10">
        <v>2.0</v>
      </c>
      <c r="J16" s="10">
        <v>3.0</v>
      </c>
      <c r="K16" s="9" t="s">
        <v>31</v>
      </c>
      <c r="L16" s="9" t="s">
        <v>30</v>
      </c>
      <c r="M16" s="9" t="s">
        <v>32</v>
      </c>
      <c r="N16" s="9" t="s">
        <v>42</v>
      </c>
      <c r="O16" s="9" t="s">
        <v>69</v>
      </c>
      <c r="P16" s="9" t="s">
        <v>51</v>
      </c>
      <c r="Q16" s="9" t="s">
        <v>34</v>
      </c>
      <c r="R16" s="9" t="s">
        <v>41</v>
      </c>
      <c r="S16" s="9" t="s">
        <v>45</v>
      </c>
      <c r="T16" s="9" t="s">
        <v>44</v>
      </c>
      <c r="U16" s="9"/>
      <c r="V16" s="9" t="s">
        <v>46</v>
      </c>
      <c r="W16" s="9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ht="15.75" customHeight="1">
      <c r="A17" s="9" t="s">
        <v>78</v>
      </c>
      <c r="B17" s="7"/>
      <c r="C17" s="9" t="s">
        <v>37</v>
      </c>
      <c r="D17" s="7" t="s">
        <v>55</v>
      </c>
      <c r="E17" s="9" t="s">
        <v>39</v>
      </c>
      <c r="F17" s="9" t="s">
        <v>40</v>
      </c>
      <c r="G17" s="10" t="s">
        <v>41</v>
      </c>
      <c r="H17" s="10">
        <v>3.0</v>
      </c>
      <c r="I17" s="10">
        <v>2.0</v>
      </c>
      <c r="J17" s="10">
        <v>3.0</v>
      </c>
      <c r="K17" s="9" t="s">
        <v>31</v>
      </c>
      <c r="L17" s="9" t="s">
        <v>30</v>
      </c>
      <c r="M17" s="9" t="s">
        <v>32</v>
      </c>
      <c r="N17" s="9" t="s">
        <v>42</v>
      </c>
      <c r="O17" s="9" t="s">
        <v>69</v>
      </c>
      <c r="P17" s="9" t="s">
        <v>51</v>
      </c>
      <c r="Q17" s="9" t="s">
        <v>34</v>
      </c>
      <c r="R17" s="9" t="s">
        <v>41</v>
      </c>
      <c r="S17" s="9" t="s">
        <v>45</v>
      </c>
      <c r="T17" s="9" t="s">
        <v>44</v>
      </c>
      <c r="U17" s="9"/>
      <c r="V17" s="9" t="s">
        <v>46</v>
      </c>
      <c r="W17" s="9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ht="15.75" customHeight="1">
      <c r="A18" s="9" t="s">
        <v>79</v>
      </c>
      <c r="B18" s="7"/>
      <c r="C18" s="9" t="s">
        <v>37</v>
      </c>
      <c r="D18" s="7" t="s">
        <v>55</v>
      </c>
      <c r="E18" s="9" t="s">
        <v>39</v>
      </c>
      <c r="F18" s="9" t="s">
        <v>40</v>
      </c>
      <c r="G18" s="10" t="s">
        <v>41</v>
      </c>
      <c r="H18" s="10">
        <v>3.0</v>
      </c>
      <c r="I18" s="10">
        <v>2.0</v>
      </c>
      <c r="J18" s="10">
        <v>3.0</v>
      </c>
      <c r="K18" s="9" t="s">
        <v>31</v>
      </c>
      <c r="L18" s="9" t="s">
        <v>30</v>
      </c>
      <c r="M18" s="9" t="s">
        <v>32</v>
      </c>
      <c r="N18" s="9" t="s">
        <v>42</v>
      </c>
      <c r="O18" s="9" t="s">
        <v>69</v>
      </c>
      <c r="P18" s="9" t="s">
        <v>51</v>
      </c>
      <c r="Q18" s="9" t="s">
        <v>34</v>
      </c>
      <c r="R18" s="9" t="s">
        <v>41</v>
      </c>
      <c r="S18" s="9" t="s">
        <v>45</v>
      </c>
      <c r="T18" s="9" t="s">
        <v>44</v>
      </c>
      <c r="U18" s="9"/>
      <c r="V18" s="9" t="s">
        <v>46</v>
      </c>
      <c r="W18" s="9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ht="15.75" customHeight="1">
      <c r="A19" s="9" t="s">
        <v>80</v>
      </c>
      <c r="B19" s="7" t="s">
        <v>54</v>
      </c>
      <c r="C19" s="9" t="s">
        <v>37</v>
      </c>
      <c r="D19" s="7" t="s">
        <v>55</v>
      </c>
      <c r="E19" s="9" t="s">
        <v>39</v>
      </c>
      <c r="F19" s="9" t="s">
        <v>40</v>
      </c>
      <c r="G19" s="10" t="s">
        <v>41</v>
      </c>
      <c r="H19" s="10">
        <v>3.0</v>
      </c>
      <c r="I19" s="10">
        <v>2.0</v>
      </c>
      <c r="J19" s="10">
        <v>3.0</v>
      </c>
      <c r="K19" s="9" t="s">
        <v>31</v>
      </c>
      <c r="L19" s="9" t="s">
        <v>30</v>
      </c>
      <c r="M19" s="9" t="s">
        <v>32</v>
      </c>
      <c r="N19" s="9" t="s">
        <v>42</v>
      </c>
      <c r="O19" s="9" t="s">
        <v>69</v>
      </c>
      <c r="P19" s="9" t="s">
        <v>51</v>
      </c>
      <c r="Q19" s="9" t="s">
        <v>34</v>
      </c>
      <c r="R19" s="9" t="s">
        <v>41</v>
      </c>
      <c r="S19" s="9" t="s">
        <v>45</v>
      </c>
      <c r="T19" s="9" t="s">
        <v>44</v>
      </c>
      <c r="U19" s="9"/>
      <c r="V19" s="9" t="s">
        <v>46</v>
      </c>
      <c r="W19" s="9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ht="15.75" customHeight="1">
      <c r="A20" s="9" t="s">
        <v>81</v>
      </c>
      <c r="B20" s="7" t="s">
        <v>54</v>
      </c>
      <c r="C20" s="9" t="s">
        <v>37</v>
      </c>
      <c r="D20" s="7" t="s">
        <v>55</v>
      </c>
      <c r="E20" s="9" t="s">
        <v>39</v>
      </c>
      <c r="F20" s="9" t="s">
        <v>40</v>
      </c>
      <c r="G20" s="10" t="s">
        <v>41</v>
      </c>
      <c r="H20" s="10">
        <v>3.0</v>
      </c>
      <c r="I20" s="10">
        <v>2.0</v>
      </c>
      <c r="J20" s="10">
        <v>3.0</v>
      </c>
      <c r="K20" s="9" t="s">
        <v>31</v>
      </c>
      <c r="L20" s="9" t="s">
        <v>30</v>
      </c>
      <c r="M20" s="9" t="s">
        <v>32</v>
      </c>
      <c r="N20" s="9" t="s">
        <v>42</v>
      </c>
      <c r="O20" s="9" t="s">
        <v>69</v>
      </c>
      <c r="P20" s="9" t="s">
        <v>51</v>
      </c>
      <c r="Q20" s="9" t="s">
        <v>34</v>
      </c>
      <c r="R20" s="9" t="s">
        <v>41</v>
      </c>
      <c r="S20" s="9" t="s">
        <v>45</v>
      </c>
      <c r="T20" s="9" t="s">
        <v>44</v>
      </c>
      <c r="U20" s="9"/>
      <c r="V20" s="9" t="s">
        <v>46</v>
      </c>
      <c r="W20" s="9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ht="15.75" customHeight="1">
      <c r="A21" s="9" t="s">
        <v>82</v>
      </c>
      <c r="B21" s="7" t="s">
        <v>54</v>
      </c>
      <c r="C21" s="9" t="s">
        <v>37</v>
      </c>
      <c r="D21" s="7" t="s">
        <v>55</v>
      </c>
      <c r="E21" s="9" t="s">
        <v>39</v>
      </c>
      <c r="F21" s="9" t="s">
        <v>40</v>
      </c>
      <c r="G21" s="10" t="s">
        <v>41</v>
      </c>
      <c r="H21" s="10">
        <v>3.0</v>
      </c>
      <c r="I21" s="10">
        <v>2.0</v>
      </c>
      <c r="J21" s="10">
        <v>3.0</v>
      </c>
      <c r="K21" s="9" t="s">
        <v>31</v>
      </c>
      <c r="L21" s="9" t="s">
        <v>30</v>
      </c>
      <c r="M21" s="9" t="s">
        <v>32</v>
      </c>
      <c r="N21" s="9" t="s">
        <v>42</v>
      </c>
      <c r="O21" s="9" t="s">
        <v>69</v>
      </c>
      <c r="P21" s="9" t="s">
        <v>51</v>
      </c>
      <c r="Q21" s="9" t="s">
        <v>34</v>
      </c>
      <c r="R21" s="9" t="s">
        <v>41</v>
      </c>
      <c r="S21" s="9" t="s">
        <v>45</v>
      </c>
      <c r="T21" s="9" t="s">
        <v>44</v>
      </c>
      <c r="U21" s="9"/>
      <c r="V21" s="9" t="s">
        <v>46</v>
      </c>
      <c r="W21" s="9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ht="15.75" customHeight="1">
      <c r="A22" s="7" t="s">
        <v>83</v>
      </c>
      <c r="B22" s="7" t="s">
        <v>54</v>
      </c>
      <c r="C22" s="9" t="s">
        <v>37</v>
      </c>
      <c r="D22" s="7" t="s">
        <v>55</v>
      </c>
      <c r="E22" s="9" t="s">
        <v>39</v>
      </c>
      <c r="F22" s="9" t="s">
        <v>40</v>
      </c>
      <c r="G22" s="10" t="s">
        <v>41</v>
      </c>
      <c r="H22" s="10">
        <v>4.0</v>
      </c>
      <c r="I22" s="10">
        <v>3.0</v>
      </c>
      <c r="J22" s="10">
        <v>4.0</v>
      </c>
      <c r="K22" s="9" t="s">
        <v>31</v>
      </c>
      <c r="L22" s="9" t="s">
        <v>30</v>
      </c>
      <c r="M22" s="9" t="s">
        <v>32</v>
      </c>
      <c r="N22" s="9" t="s">
        <v>42</v>
      </c>
      <c r="O22" s="9" t="s">
        <v>84</v>
      </c>
      <c r="P22" s="9" t="s">
        <v>33</v>
      </c>
      <c r="Q22" s="9" t="s">
        <v>34</v>
      </c>
      <c r="R22" s="9" t="s">
        <v>41</v>
      </c>
      <c r="S22" s="9" t="s">
        <v>45</v>
      </c>
      <c r="T22" s="9" t="s">
        <v>44</v>
      </c>
      <c r="U22" s="9"/>
      <c r="V22" s="9" t="s">
        <v>46</v>
      </c>
      <c r="W22" s="9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ht="15.75" customHeight="1">
      <c r="A23" s="7" t="s">
        <v>85</v>
      </c>
      <c r="B23" s="7" t="s">
        <v>54</v>
      </c>
      <c r="C23" s="9" t="s">
        <v>37</v>
      </c>
      <c r="D23" s="7" t="s">
        <v>55</v>
      </c>
      <c r="E23" s="9" t="s">
        <v>39</v>
      </c>
      <c r="F23" s="9" t="s">
        <v>40</v>
      </c>
      <c r="G23" s="10" t="s">
        <v>41</v>
      </c>
      <c r="H23" s="10">
        <v>4.0</v>
      </c>
      <c r="I23" s="10">
        <v>3.0</v>
      </c>
      <c r="J23" s="10">
        <v>4.0</v>
      </c>
      <c r="K23" s="9" t="s">
        <v>31</v>
      </c>
      <c r="L23" s="9" t="s">
        <v>30</v>
      </c>
      <c r="M23" s="9" t="s">
        <v>32</v>
      </c>
      <c r="N23" s="9" t="s">
        <v>42</v>
      </c>
      <c r="O23" s="9" t="s">
        <v>84</v>
      </c>
      <c r="P23" s="9" t="s">
        <v>33</v>
      </c>
      <c r="Q23" s="9" t="s">
        <v>34</v>
      </c>
      <c r="R23" s="9" t="s">
        <v>41</v>
      </c>
      <c r="S23" s="9" t="s">
        <v>45</v>
      </c>
      <c r="T23" s="9" t="s">
        <v>44</v>
      </c>
      <c r="U23" s="9"/>
      <c r="V23" s="9" t="s">
        <v>46</v>
      </c>
      <c r="W23" s="9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ht="15.75" customHeight="1">
      <c r="A24" s="7" t="s">
        <v>86</v>
      </c>
      <c r="B24" s="7" t="s">
        <v>87</v>
      </c>
      <c r="C24" s="9" t="s">
        <v>37</v>
      </c>
      <c r="D24" s="9" t="s">
        <v>38</v>
      </c>
      <c r="E24" s="9" t="s">
        <v>39</v>
      </c>
      <c r="F24" s="9" t="s">
        <v>40</v>
      </c>
      <c r="G24" s="10" t="s">
        <v>41</v>
      </c>
      <c r="H24" s="10">
        <v>2.0</v>
      </c>
      <c r="I24" s="10">
        <v>1.0</v>
      </c>
      <c r="J24" s="10">
        <v>1.0</v>
      </c>
      <c r="K24" s="9" t="s">
        <v>31</v>
      </c>
      <c r="L24" s="9" t="s">
        <v>30</v>
      </c>
      <c r="M24" s="9" t="s">
        <v>32</v>
      </c>
      <c r="N24" s="9" t="s">
        <v>42</v>
      </c>
      <c r="O24" s="9" t="s">
        <v>88</v>
      </c>
      <c r="P24" s="9" t="s">
        <v>33</v>
      </c>
      <c r="Q24" s="9" t="s">
        <v>34</v>
      </c>
      <c r="R24" s="9" t="s">
        <v>41</v>
      </c>
      <c r="S24" s="9" t="s">
        <v>45</v>
      </c>
      <c r="T24" s="9" t="s">
        <v>44</v>
      </c>
      <c r="U24" s="9"/>
      <c r="V24" s="9" t="s">
        <v>46</v>
      </c>
      <c r="W24" s="9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ht="15.75" customHeight="1">
      <c r="A25" s="7" t="s">
        <v>89</v>
      </c>
      <c r="B25" s="7" t="s">
        <v>90</v>
      </c>
      <c r="C25" s="9" t="s">
        <v>37</v>
      </c>
      <c r="D25" s="9" t="s">
        <v>38</v>
      </c>
      <c r="E25" s="9" t="s">
        <v>39</v>
      </c>
      <c r="F25" s="9" t="s">
        <v>40</v>
      </c>
      <c r="G25" s="10" t="s">
        <v>41</v>
      </c>
      <c r="H25" s="10">
        <v>2.0</v>
      </c>
      <c r="I25" s="10">
        <v>1.0</v>
      </c>
      <c r="J25" s="10">
        <v>1.0</v>
      </c>
      <c r="K25" s="9" t="s">
        <v>31</v>
      </c>
      <c r="L25" s="9" t="s">
        <v>30</v>
      </c>
      <c r="M25" s="9" t="s">
        <v>32</v>
      </c>
      <c r="N25" s="9" t="s">
        <v>42</v>
      </c>
      <c r="O25" s="9" t="s">
        <v>88</v>
      </c>
      <c r="P25" s="9" t="s">
        <v>33</v>
      </c>
      <c r="Q25" s="9" t="s">
        <v>34</v>
      </c>
      <c r="R25" s="9" t="s">
        <v>41</v>
      </c>
      <c r="S25" s="9" t="s">
        <v>45</v>
      </c>
      <c r="T25" s="9" t="s">
        <v>44</v>
      </c>
      <c r="U25" s="9"/>
      <c r="V25" s="9" t="s">
        <v>46</v>
      </c>
      <c r="W25" s="9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ht="15.75" customHeight="1">
      <c r="A26" s="7" t="s">
        <v>91</v>
      </c>
      <c r="B26" s="7" t="s">
        <v>92</v>
      </c>
      <c r="C26" s="9" t="s">
        <v>37</v>
      </c>
      <c r="D26" s="9" t="s">
        <v>38</v>
      </c>
      <c r="E26" s="9" t="s">
        <v>39</v>
      </c>
      <c r="F26" s="9" t="s">
        <v>40</v>
      </c>
      <c r="G26" s="10" t="s">
        <v>41</v>
      </c>
      <c r="H26" s="10">
        <v>2.0</v>
      </c>
      <c r="I26" s="10">
        <v>1.0</v>
      </c>
      <c r="J26" s="10">
        <v>1.0</v>
      </c>
      <c r="K26" s="9" t="s">
        <v>31</v>
      </c>
      <c r="L26" s="9" t="s">
        <v>30</v>
      </c>
      <c r="M26" s="9" t="s">
        <v>32</v>
      </c>
      <c r="N26" s="9" t="s">
        <v>42</v>
      </c>
      <c r="O26" s="9" t="s">
        <v>88</v>
      </c>
      <c r="P26" s="9" t="s">
        <v>33</v>
      </c>
      <c r="Q26" s="9" t="s">
        <v>34</v>
      </c>
      <c r="R26" s="9" t="s">
        <v>41</v>
      </c>
      <c r="S26" s="9" t="s">
        <v>45</v>
      </c>
      <c r="T26" s="9" t="s">
        <v>44</v>
      </c>
      <c r="U26" s="9"/>
      <c r="V26" s="9" t="s">
        <v>46</v>
      </c>
      <c r="W26" s="9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ht="15.75" customHeight="1">
      <c r="A27" s="7" t="s">
        <v>93</v>
      </c>
      <c r="B27" s="7" t="s">
        <v>54</v>
      </c>
      <c r="C27" s="9" t="s">
        <v>37</v>
      </c>
      <c r="D27" s="7" t="s">
        <v>55</v>
      </c>
      <c r="E27" s="9" t="s">
        <v>39</v>
      </c>
      <c r="F27" s="9" t="s">
        <v>40</v>
      </c>
      <c r="G27" s="10" t="s">
        <v>41</v>
      </c>
      <c r="H27" s="10">
        <v>1.0</v>
      </c>
      <c r="I27" s="10">
        <v>1.0</v>
      </c>
      <c r="J27" s="10">
        <v>1.0</v>
      </c>
      <c r="K27" s="9" t="s">
        <v>31</v>
      </c>
      <c r="L27" s="9" t="s">
        <v>30</v>
      </c>
      <c r="M27" s="9" t="s">
        <v>32</v>
      </c>
      <c r="N27" s="9" t="s">
        <v>42</v>
      </c>
      <c r="O27" s="9" t="s">
        <v>88</v>
      </c>
      <c r="P27" s="9" t="s">
        <v>33</v>
      </c>
      <c r="Q27" s="9" t="s">
        <v>34</v>
      </c>
      <c r="R27" s="9" t="s">
        <v>41</v>
      </c>
      <c r="S27" s="9" t="s">
        <v>45</v>
      </c>
      <c r="T27" s="9" t="s">
        <v>44</v>
      </c>
      <c r="U27" s="9"/>
      <c r="V27" s="9" t="s">
        <v>46</v>
      </c>
      <c r="W27" s="9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ht="15.75" customHeight="1">
      <c r="A30" s="11" t="s">
        <v>94</v>
      </c>
      <c r="B30" s="11"/>
      <c r="C30" s="11"/>
      <c r="D30" s="11"/>
      <c r="E30" s="11" t="s">
        <v>94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ht="15.75" customHeight="1">
      <c r="A31" s="11" t="s">
        <v>94</v>
      </c>
      <c r="B31" s="11"/>
      <c r="C31" s="11"/>
      <c r="D31" s="11"/>
      <c r="E31" s="11" t="s">
        <v>94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ht="15.75" customHeight="1">
      <c r="A32" s="11" t="s">
        <v>94</v>
      </c>
      <c r="B32" s="11"/>
      <c r="C32" s="11"/>
      <c r="D32" s="11"/>
      <c r="E32" s="11" t="s">
        <v>94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ht="15.75" customHeight="1">
      <c r="A33" s="11" t="s">
        <v>94</v>
      </c>
      <c r="B33" s="11"/>
      <c r="C33" s="11"/>
      <c r="D33" s="11"/>
      <c r="E33" s="11" t="s">
        <v>94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ht="15.75" customHeight="1">
      <c r="A34" s="11" t="s">
        <v>94</v>
      </c>
      <c r="B34" s="11"/>
      <c r="C34" s="11"/>
      <c r="D34" s="11"/>
      <c r="E34" s="11" t="s">
        <v>94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ht="15.75" customHeight="1">
      <c r="A35" s="11" t="s">
        <v>94</v>
      </c>
      <c r="B35" s="11"/>
      <c r="C35" s="11"/>
      <c r="D35" s="11"/>
      <c r="E35" s="11" t="s">
        <v>94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ht="15.75" customHeight="1">
      <c r="A36" s="11" t="s">
        <v>94</v>
      </c>
      <c r="B36" s="11"/>
      <c r="C36" s="11"/>
      <c r="D36" s="11"/>
      <c r="E36" s="11" t="s">
        <v>94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 ht="15.75" customHeight="1">
      <c r="A37" s="11" t="s">
        <v>94</v>
      </c>
      <c r="B37" s="11"/>
      <c r="C37" s="11"/>
      <c r="D37" s="11"/>
      <c r="E37" s="11" t="s">
        <v>94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ht="15.75" customHeight="1">
      <c r="A38" s="11" t="s">
        <v>94</v>
      </c>
      <c r="B38" s="11"/>
      <c r="C38" s="11"/>
      <c r="D38" s="11"/>
      <c r="E38" s="11" t="s">
        <v>94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ht="15.75" customHeight="1">
      <c r="A39" s="11" t="s">
        <v>94</v>
      </c>
      <c r="B39" s="11"/>
      <c r="C39" s="11"/>
      <c r="D39" s="11"/>
      <c r="E39" s="11" t="s">
        <v>94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ht="15.75" customHeight="1">
      <c r="A40" s="11" t="s">
        <v>94</v>
      </c>
      <c r="B40" s="11"/>
      <c r="C40" s="11"/>
      <c r="D40" s="11"/>
      <c r="E40" s="11" t="s">
        <v>94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Type Of Asset" sqref="F2:F27">
      <formula1>$AD$1:$AD$3</formula1>
    </dataValidation>
    <dataValidation type="list" allowBlank="1" showErrorMessage="1" sqref="S2:S27">
      <formula1>$AF$6:$AF$7</formula1>
    </dataValidation>
    <dataValidation type="list" allowBlank="1" showErrorMessage="1" sqref="K2:K27">
      <formula1>$AF$1:$AF$2</formula1>
    </dataValidation>
    <dataValidation type="list" allowBlank="1" showErrorMessage="1" sqref="L2:L27">
      <formula1>$AE$1:$AE$2</formula1>
    </dataValidation>
    <dataValidation type="list" allowBlank="1" showErrorMessage="1" sqref="Q2:Q27">
      <formula1>$AI$1:$AI$2</formula1>
    </dataValidation>
    <dataValidation type="list" allowBlank="1" showErrorMessage="1" sqref="R2:R27 T2:T27">
      <formula1>"Yes,No"</formula1>
    </dataValidation>
    <dataValidation type="list" allowBlank="1" showErrorMessage="1" sqref="P2:P27">
      <formula1>$AH$1:$AH$2</formula1>
    </dataValidation>
    <dataValidation type="list" allowBlank="1" showErrorMessage="1" sqref="V2:V27">
      <formula1>$AG$6:$AG$7</formula1>
    </dataValidation>
    <dataValidation type="list" allowBlank="1" showErrorMessage="1" sqref="M2:M27">
      <formula1>$AG$1:$AG$2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7" width="26.63"/>
  </cols>
  <sheetData>
    <row r="2">
      <c r="B2" s="12" t="s">
        <v>95</v>
      </c>
      <c r="C2" s="12" t="s">
        <v>96</v>
      </c>
      <c r="D2" s="12" t="s">
        <v>97</v>
      </c>
      <c r="E2" s="12" t="s">
        <v>98</v>
      </c>
      <c r="F2" s="12" t="s">
        <v>19</v>
      </c>
      <c r="G2" s="12" t="s">
        <v>22</v>
      </c>
      <c r="H2" s="12" t="s">
        <v>96</v>
      </c>
      <c r="I2" s="12" t="s">
        <v>27</v>
      </c>
      <c r="J2" s="12" t="s">
        <v>99</v>
      </c>
      <c r="K2" s="12" t="s">
        <v>24</v>
      </c>
      <c r="L2" s="12" t="s">
        <v>100</v>
      </c>
      <c r="M2" s="12" t="s">
        <v>101</v>
      </c>
      <c r="N2" s="12" t="s">
        <v>102</v>
      </c>
      <c r="O2" s="12" t="s">
        <v>103</v>
      </c>
      <c r="P2" s="12" t="s">
        <v>104</v>
      </c>
      <c r="Q2" s="12" t="s">
        <v>105</v>
      </c>
      <c r="R2" s="12" t="s">
        <v>106</v>
      </c>
      <c r="S2" s="12" t="s">
        <v>107</v>
      </c>
      <c r="T2" s="13" t="s">
        <v>108</v>
      </c>
      <c r="U2" s="13" t="s">
        <v>109</v>
      </c>
      <c r="V2" s="12" t="s">
        <v>103</v>
      </c>
      <c r="W2" s="12" t="s">
        <v>110</v>
      </c>
      <c r="X2" s="12" t="s">
        <v>111</v>
      </c>
      <c r="Y2" s="14" t="s">
        <v>112</v>
      </c>
      <c r="Z2" s="12" t="s">
        <v>113</v>
      </c>
      <c r="AA2" s="14" t="s">
        <v>114</v>
      </c>
      <c r="AB2" s="15" t="s">
        <v>115</v>
      </c>
      <c r="AC2" s="12" t="s">
        <v>116</v>
      </c>
      <c r="AD2" s="16" t="s">
        <v>117</v>
      </c>
      <c r="AE2" s="16" t="s">
        <v>117</v>
      </c>
      <c r="AF2" s="12" t="s">
        <v>118</v>
      </c>
      <c r="AG2" s="12" t="s">
        <v>119</v>
      </c>
    </row>
    <row r="3">
      <c r="B3" s="17" t="s">
        <v>120</v>
      </c>
      <c r="C3" s="17" t="s">
        <v>121</v>
      </c>
      <c r="D3" s="17"/>
      <c r="E3" s="17"/>
      <c r="F3" s="17" t="s">
        <v>122</v>
      </c>
      <c r="G3" s="17" t="s">
        <v>123</v>
      </c>
      <c r="H3" s="17"/>
      <c r="I3" s="17" t="s">
        <v>124</v>
      </c>
      <c r="J3" s="17" t="s">
        <v>120</v>
      </c>
      <c r="K3" s="17"/>
      <c r="L3" s="18" t="s">
        <v>125</v>
      </c>
      <c r="M3" s="17"/>
      <c r="N3" s="17"/>
      <c r="O3" s="17"/>
      <c r="P3" s="17" t="s">
        <v>126</v>
      </c>
      <c r="Q3" s="17"/>
      <c r="R3" s="17"/>
      <c r="S3" s="17" t="s">
        <v>127</v>
      </c>
      <c r="T3" s="19" t="s">
        <v>128</v>
      </c>
      <c r="U3" s="19" t="s">
        <v>129</v>
      </c>
      <c r="V3" s="17" t="s">
        <v>130</v>
      </c>
      <c r="W3" s="17" t="s">
        <v>131</v>
      </c>
      <c r="X3" s="17"/>
      <c r="Y3" s="20">
        <v>250.0</v>
      </c>
      <c r="Z3" s="21">
        <f t="shared" ref="Z3:Z32" si="1">Y3*1.241</f>
        <v>310.25</v>
      </c>
      <c r="AA3" s="22"/>
      <c r="AB3" s="22"/>
      <c r="AC3" s="17"/>
      <c r="AD3" s="17"/>
      <c r="AE3" s="17"/>
      <c r="AF3" s="17"/>
      <c r="AG3" s="17"/>
    </row>
    <row r="4">
      <c r="B4" s="17" t="s">
        <v>132</v>
      </c>
      <c r="C4" s="17" t="s">
        <v>121</v>
      </c>
      <c r="D4" s="17"/>
      <c r="E4" s="17"/>
      <c r="F4" s="17" t="s">
        <v>122</v>
      </c>
      <c r="G4" s="17" t="s">
        <v>123</v>
      </c>
      <c r="H4" s="17"/>
      <c r="I4" s="17" t="s">
        <v>124</v>
      </c>
      <c r="J4" s="17" t="s">
        <v>132</v>
      </c>
      <c r="K4" s="17"/>
      <c r="L4" s="18" t="s">
        <v>125</v>
      </c>
      <c r="M4" s="17"/>
      <c r="N4" s="17"/>
      <c r="O4" s="17"/>
      <c r="P4" s="17" t="s">
        <v>126</v>
      </c>
      <c r="Q4" s="17"/>
      <c r="R4" s="17"/>
      <c r="S4" s="17" t="s">
        <v>127</v>
      </c>
      <c r="T4" s="19" t="s">
        <v>128</v>
      </c>
      <c r="U4" s="19" t="s">
        <v>129</v>
      </c>
      <c r="V4" s="17" t="s">
        <v>130</v>
      </c>
      <c r="W4" s="17" t="s">
        <v>131</v>
      </c>
      <c r="X4" s="17"/>
      <c r="Y4" s="20">
        <v>251.0</v>
      </c>
      <c r="Z4" s="21">
        <f t="shared" si="1"/>
        <v>311.491</v>
      </c>
      <c r="AA4" s="22"/>
      <c r="AB4" s="22"/>
      <c r="AC4" s="17"/>
      <c r="AD4" s="17"/>
      <c r="AE4" s="17"/>
      <c r="AF4" s="17"/>
      <c r="AG4" s="17"/>
    </row>
    <row r="5">
      <c r="B5" s="17" t="s">
        <v>133</v>
      </c>
      <c r="C5" s="17" t="s">
        <v>121</v>
      </c>
      <c r="D5" s="17"/>
      <c r="E5" s="17"/>
      <c r="F5" s="17" t="s">
        <v>122</v>
      </c>
      <c r="G5" s="17" t="s">
        <v>123</v>
      </c>
      <c r="H5" s="17"/>
      <c r="I5" s="17" t="s">
        <v>124</v>
      </c>
      <c r="J5" s="17" t="s">
        <v>133</v>
      </c>
      <c r="K5" s="17"/>
      <c r="L5" s="18" t="s">
        <v>125</v>
      </c>
      <c r="M5" s="17"/>
      <c r="N5" s="17"/>
      <c r="O5" s="17"/>
      <c r="P5" s="17" t="s">
        <v>126</v>
      </c>
      <c r="Q5" s="17"/>
      <c r="R5" s="17"/>
      <c r="S5" s="17" t="s">
        <v>127</v>
      </c>
      <c r="T5" s="19" t="s">
        <v>128</v>
      </c>
      <c r="U5" s="19" t="s">
        <v>129</v>
      </c>
      <c r="V5" s="17" t="s">
        <v>130</v>
      </c>
      <c r="W5" s="17" t="s">
        <v>131</v>
      </c>
      <c r="X5" s="17"/>
      <c r="Y5" s="20">
        <v>251.0</v>
      </c>
      <c r="Z5" s="21">
        <f t="shared" si="1"/>
        <v>311.491</v>
      </c>
      <c r="AA5" s="22"/>
      <c r="AB5" s="22"/>
      <c r="AC5" s="17"/>
      <c r="AD5" s="17"/>
      <c r="AE5" s="17"/>
      <c r="AF5" s="17"/>
      <c r="AG5" s="17"/>
    </row>
    <row r="6">
      <c r="B6" s="17" t="s">
        <v>134</v>
      </c>
      <c r="C6" s="17" t="s">
        <v>135</v>
      </c>
      <c r="D6" s="17" t="s">
        <v>136</v>
      </c>
      <c r="E6" s="17" t="s">
        <v>137</v>
      </c>
      <c r="F6" s="17" t="s">
        <v>122</v>
      </c>
      <c r="G6" s="17" t="s">
        <v>138</v>
      </c>
      <c r="H6" s="17"/>
      <c r="I6" s="17" t="s">
        <v>124</v>
      </c>
      <c r="J6" s="17" t="s">
        <v>134</v>
      </c>
      <c r="K6" s="17"/>
      <c r="L6" s="17" t="s">
        <v>139</v>
      </c>
      <c r="M6" s="17"/>
      <c r="N6" s="23" t="s">
        <v>140</v>
      </c>
      <c r="O6" s="17"/>
      <c r="P6" s="23" t="s">
        <v>141</v>
      </c>
      <c r="Q6" s="17" t="s">
        <v>142</v>
      </c>
      <c r="R6" s="17" t="s">
        <v>143</v>
      </c>
      <c r="S6" s="17" t="s">
        <v>127</v>
      </c>
      <c r="T6" s="19" t="s">
        <v>128</v>
      </c>
      <c r="U6" s="19" t="s">
        <v>144</v>
      </c>
      <c r="V6" s="17"/>
      <c r="W6" s="17" t="s">
        <v>131</v>
      </c>
      <c r="X6" s="17"/>
      <c r="Y6" s="20">
        <v>2000.0</v>
      </c>
      <c r="Z6" s="21">
        <f t="shared" si="1"/>
        <v>2482</v>
      </c>
      <c r="AA6" s="24">
        <v>44704.0</v>
      </c>
      <c r="AB6" s="25">
        <f t="shared" ref="AB6:AB21" si="2">INT(TODAY()-AA6)/365</f>
        <v>2.805479452</v>
      </c>
      <c r="AC6" s="17"/>
      <c r="AD6" s="26">
        <f t="shared" ref="AD6:AD21" si="3">AB6*12</f>
        <v>33.66575342</v>
      </c>
      <c r="AE6" s="27">
        <f t="shared" ref="AE6:AE21" si="4">AD6</f>
        <v>33.66575342</v>
      </c>
      <c r="AF6" s="28">
        <f t="shared" ref="AF6:AF21" si="5">AA6+AG6</f>
        <v>46165</v>
      </c>
      <c r="AG6" s="29">
        <v>1461.0</v>
      </c>
    </row>
    <row r="7">
      <c r="B7" s="17" t="s">
        <v>145</v>
      </c>
      <c r="C7" s="30" t="s">
        <v>135</v>
      </c>
      <c r="D7" s="17"/>
      <c r="E7" s="17"/>
      <c r="F7" s="17" t="s">
        <v>122</v>
      </c>
      <c r="G7" s="17" t="s">
        <v>146</v>
      </c>
      <c r="H7" s="17"/>
      <c r="I7" s="17" t="s">
        <v>124</v>
      </c>
      <c r="J7" s="17" t="s">
        <v>145</v>
      </c>
      <c r="K7" s="17"/>
      <c r="L7" s="17" t="s">
        <v>139</v>
      </c>
      <c r="M7" s="17"/>
      <c r="N7" s="23" t="s">
        <v>147</v>
      </c>
      <c r="O7" s="17"/>
      <c r="P7" s="23" t="s">
        <v>141</v>
      </c>
      <c r="Q7" s="17" t="s">
        <v>148</v>
      </c>
      <c r="R7" s="17" t="s">
        <v>149</v>
      </c>
      <c r="S7" s="17" t="s">
        <v>127</v>
      </c>
      <c r="T7" s="19" t="s">
        <v>128</v>
      </c>
      <c r="U7" s="19" t="s">
        <v>150</v>
      </c>
      <c r="V7" s="17"/>
      <c r="W7" s="17" t="s">
        <v>131</v>
      </c>
      <c r="X7" s="17"/>
      <c r="Y7" s="20">
        <v>1652.63</v>
      </c>
      <c r="Z7" s="21">
        <f t="shared" si="1"/>
        <v>2050.91383</v>
      </c>
      <c r="AA7" s="24">
        <v>45125.0</v>
      </c>
      <c r="AB7" s="25">
        <f t="shared" si="2"/>
        <v>1.652054795</v>
      </c>
      <c r="AC7" s="17"/>
      <c r="AD7" s="26">
        <f t="shared" si="3"/>
        <v>19.82465753</v>
      </c>
      <c r="AE7" s="31">
        <f t="shared" si="4"/>
        <v>19.82465753</v>
      </c>
      <c r="AF7" s="28">
        <f t="shared" si="5"/>
        <v>46586</v>
      </c>
      <c r="AG7" s="29">
        <v>1461.0</v>
      </c>
    </row>
    <row r="8">
      <c r="B8" s="17" t="s">
        <v>151</v>
      </c>
      <c r="C8" s="30" t="s">
        <v>152</v>
      </c>
      <c r="D8" s="17"/>
      <c r="E8" s="17"/>
      <c r="F8" s="17" t="s">
        <v>122</v>
      </c>
      <c r="G8" s="17" t="s">
        <v>153</v>
      </c>
      <c r="H8" s="17"/>
      <c r="I8" s="17" t="s">
        <v>124</v>
      </c>
      <c r="J8" s="17" t="s">
        <v>151</v>
      </c>
      <c r="K8" s="17"/>
      <c r="L8" s="17" t="s">
        <v>139</v>
      </c>
      <c r="M8" s="17"/>
      <c r="N8" s="23" t="s">
        <v>147</v>
      </c>
      <c r="O8" s="17"/>
      <c r="P8" s="23" t="s">
        <v>141</v>
      </c>
      <c r="Q8" s="17" t="s">
        <v>154</v>
      </c>
      <c r="R8" s="17" t="s">
        <v>155</v>
      </c>
      <c r="S8" s="17" t="s">
        <v>127</v>
      </c>
      <c r="T8" s="19" t="s">
        <v>128</v>
      </c>
      <c r="U8" s="19" t="s">
        <v>150</v>
      </c>
      <c r="V8" s="17"/>
      <c r="W8" s="17" t="s">
        <v>131</v>
      </c>
      <c r="X8" s="17"/>
      <c r="Y8" s="20">
        <v>1800.09</v>
      </c>
      <c r="Z8" s="21">
        <f t="shared" si="1"/>
        <v>2233.91169</v>
      </c>
      <c r="AA8" s="24">
        <v>45051.0</v>
      </c>
      <c r="AB8" s="25">
        <f t="shared" si="2"/>
        <v>1.854794521</v>
      </c>
      <c r="AC8" s="17"/>
      <c r="AD8" s="26">
        <f t="shared" si="3"/>
        <v>22.25753425</v>
      </c>
      <c r="AE8" s="31">
        <f t="shared" si="4"/>
        <v>22.25753425</v>
      </c>
      <c r="AF8" s="28">
        <f t="shared" si="5"/>
        <v>46512</v>
      </c>
      <c r="AG8" s="29">
        <v>1461.0</v>
      </c>
    </row>
    <row r="9">
      <c r="B9" s="17" t="s">
        <v>156</v>
      </c>
      <c r="C9" s="30" t="s">
        <v>135</v>
      </c>
      <c r="D9" s="17"/>
      <c r="E9" s="17"/>
      <c r="F9" s="17" t="s">
        <v>122</v>
      </c>
      <c r="G9" s="17" t="s">
        <v>157</v>
      </c>
      <c r="H9" s="17"/>
      <c r="I9" s="17" t="s">
        <v>124</v>
      </c>
      <c r="J9" s="17" t="s">
        <v>156</v>
      </c>
      <c r="K9" s="17"/>
      <c r="L9" s="17" t="s">
        <v>139</v>
      </c>
      <c r="M9" s="17"/>
      <c r="N9" s="23" t="s">
        <v>147</v>
      </c>
      <c r="O9" s="17"/>
      <c r="P9" s="23" t="s">
        <v>141</v>
      </c>
      <c r="Q9" s="17" t="s">
        <v>158</v>
      </c>
      <c r="R9" s="17" t="s">
        <v>155</v>
      </c>
      <c r="S9" s="17" t="s">
        <v>127</v>
      </c>
      <c r="T9" s="19" t="s">
        <v>128</v>
      </c>
      <c r="U9" s="19" t="s">
        <v>150</v>
      </c>
      <c r="V9" s="17"/>
      <c r="W9" s="17" t="s">
        <v>131</v>
      </c>
      <c r="X9" s="17"/>
      <c r="Y9" s="20">
        <v>1800.09</v>
      </c>
      <c r="Z9" s="21">
        <f t="shared" si="1"/>
        <v>2233.91169</v>
      </c>
      <c r="AA9" s="24">
        <v>45012.0</v>
      </c>
      <c r="AB9" s="25">
        <f t="shared" si="2"/>
        <v>1.961643836</v>
      </c>
      <c r="AC9" s="17"/>
      <c r="AD9" s="26">
        <f t="shared" si="3"/>
        <v>23.53972603</v>
      </c>
      <c r="AE9" s="31">
        <f t="shared" si="4"/>
        <v>23.53972603</v>
      </c>
      <c r="AF9" s="28">
        <f t="shared" si="5"/>
        <v>46473</v>
      </c>
      <c r="AG9" s="29">
        <v>1461.0</v>
      </c>
    </row>
    <row r="10">
      <c r="B10" s="17" t="s">
        <v>159</v>
      </c>
      <c r="C10" s="17" t="s">
        <v>160</v>
      </c>
      <c r="D10" s="17" t="s">
        <v>161</v>
      </c>
      <c r="E10" s="17" t="s">
        <v>162</v>
      </c>
      <c r="F10" s="17" t="s">
        <v>122</v>
      </c>
      <c r="G10" s="17"/>
      <c r="H10" s="17"/>
      <c r="I10" s="17" t="s">
        <v>163</v>
      </c>
      <c r="J10" s="17" t="s">
        <v>159</v>
      </c>
      <c r="K10" s="17"/>
      <c r="L10" s="17" t="s">
        <v>139</v>
      </c>
      <c r="M10" s="17"/>
      <c r="N10" s="23" t="s">
        <v>147</v>
      </c>
      <c r="O10" s="12" t="s">
        <v>164</v>
      </c>
      <c r="P10" s="23" t="s">
        <v>141</v>
      </c>
      <c r="Q10" s="17" t="s">
        <v>165</v>
      </c>
      <c r="R10" s="17" t="s">
        <v>166</v>
      </c>
      <c r="S10" s="17" t="s">
        <v>167</v>
      </c>
      <c r="T10" s="19" t="s">
        <v>128</v>
      </c>
      <c r="U10" s="32" t="s">
        <v>168</v>
      </c>
      <c r="V10" s="17" t="s">
        <v>169</v>
      </c>
      <c r="W10" s="17" t="s">
        <v>131</v>
      </c>
      <c r="X10" s="17"/>
      <c r="Y10" s="20">
        <v>1350.0</v>
      </c>
      <c r="Z10" s="21">
        <f t="shared" si="1"/>
        <v>1675.35</v>
      </c>
      <c r="AA10" s="24">
        <v>44501.0</v>
      </c>
      <c r="AB10" s="25">
        <f t="shared" si="2"/>
        <v>3.361643836</v>
      </c>
      <c r="AC10" s="17"/>
      <c r="AD10" s="26">
        <f t="shared" si="3"/>
        <v>40.33972603</v>
      </c>
      <c r="AE10" s="33">
        <f t="shared" si="4"/>
        <v>40.33972603</v>
      </c>
      <c r="AF10" s="28">
        <f t="shared" si="5"/>
        <v>45962</v>
      </c>
      <c r="AG10" s="29">
        <v>1461.0</v>
      </c>
    </row>
    <row r="11">
      <c r="B11" s="17" t="s">
        <v>170</v>
      </c>
      <c r="C11" s="17" t="s">
        <v>160</v>
      </c>
      <c r="D11" s="17" t="s">
        <v>171</v>
      </c>
      <c r="E11" s="17" t="s">
        <v>172</v>
      </c>
      <c r="F11" s="17" t="s">
        <v>122</v>
      </c>
      <c r="G11" s="17" t="s">
        <v>173</v>
      </c>
      <c r="H11" s="17"/>
      <c r="I11" s="17" t="s">
        <v>124</v>
      </c>
      <c r="J11" s="17" t="s">
        <v>170</v>
      </c>
      <c r="K11" s="17"/>
      <c r="L11" s="17" t="s">
        <v>139</v>
      </c>
      <c r="M11" s="17"/>
      <c r="N11" s="23" t="s">
        <v>147</v>
      </c>
      <c r="O11" s="17"/>
      <c r="P11" s="23" t="s">
        <v>141</v>
      </c>
      <c r="Q11" s="17" t="s">
        <v>174</v>
      </c>
      <c r="R11" s="17" t="s">
        <v>175</v>
      </c>
      <c r="S11" s="17" t="s">
        <v>167</v>
      </c>
      <c r="T11" s="19" t="s">
        <v>128</v>
      </c>
      <c r="U11" s="19" t="s">
        <v>176</v>
      </c>
      <c r="V11" s="17" t="s">
        <v>169</v>
      </c>
      <c r="W11" s="17" t="s">
        <v>131</v>
      </c>
      <c r="X11" s="17"/>
      <c r="Y11" s="20">
        <v>1350.0</v>
      </c>
      <c r="Z11" s="21">
        <f t="shared" si="1"/>
        <v>1675.35</v>
      </c>
      <c r="AA11" s="28">
        <v>44517.0</v>
      </c>
      <c r="AB11" s="25">
        <f t="shared" si="2"/>
        <v>3.317808219</v>
      </c>
      <c r="AC11" s="17"/>
      <c r="AD11" s="26">
        <f t="shared" si="3"/>
        <v>39.81369863</v>
      </c>
      <c r="AE11" s="33">
        <f t="shared" si="4"/>
        <v>39.81369863</v>
      </c>
      <c r="AF11" s="28">
        <f t="shared" si="5"/>
        <v>45978</v>
      </c>
      <c r="AG11" s="29">
        <v>1461.0</v>
      </c>
    </row>
    <row r="12">
      <c r="B12" s="17" t="s">
        <v>177</v>
      </c>
      <c r="C12" s="17" t="s">
        <v>178</v>
      </c>
      <c r="D12" s="17" t="s">
        <v>179</v>
      </c>
      <c r="E12" s="17" t="s">
        <v>180</v>
      </c>
      <c r="F12" s="17" t="s">
        <v>122</v>
      </c>
      <c r="G12" s="17" t="s">
        <v>181</v>
      </c>
      <c r="H12" s="17"/>
      <c r="I12" s="17" t="s">
        <v>124</v>
      </c>
      <c r="J12" s="17" t="s">
        <v>177</v>
      </c>
      <c r="K12" s="17"/>
      <c r="L12" s="17" t="s">
        <v>139</v>
      </c>
      <c r="M12" s="17"/>
      <c r="N12" s="23" t="s">
        <v>140</v>
      </c>
      <c r="O12" s="17"/>
      <c r="P12" s="23" t="s">
        <v>141</v>
      </c>
      <c r="Q12" s="17" t="s">
        <v>182</v>
      </c>
      <c r="R12" s="17" t="s">
        <v>183</v>
      </c>
      <c r="S12" s="17" t="s">
        <v>127</v>
      </c>
      <c r="T12" s="19" t="s">
        <v>128</v>
      </c>
      <c r="U12" s="19" t="s">
        <v>184</v>
      </c>
      <c r="V12" s="17"/>
      <c r="W12" s="17" t="s">
        <v>131</v>
      </c>
      <c r="X12" s="17"/>
      <c r="Y12" s="20">
        <v>1600.0</v>
      </c>
      <c r="Z12" s="21">
        <f t="shared" si="1"/>
        <v>1985.6</v>
      </c>
      <c r="AA12" s="24">
        <v>44746.0</v>
      </c>
      <c r="AB12" s="25">
        <f t="shared" si="2"/>
        <v>2.690410959</v>
      </c>
      <c r="AC12" s="17"/>
      <c r="AD12" s="26">
        <f t="shared" si="3"/>
        <v>32.28493151</v>
      </c>
      <c r="AE12" s="27">
        <f t="shared" si="4"/>
        <v>32.28493151</v>
      </c>
      <c r="AF12" s="28">
        <f t="shared" si="5"/>
        <v>46207</v>
      </c>
      <c r="AG12" s="29">
        <v>1461.0</v>
      </c>
    </row>
    <row r="13">
      <c r="B13" s="17" t="s">
        <v>185</v>
      </c>
      <c r="C13" s="17" t="s">
        <v>178</v>
      </c>
      <c r="D13" s="17" t="s">
        <v>186</v>
      </c>
      <c r="E13" s="17" t="s">
        <v>187</v>
      </c>
      <c r="F13" s="17" t="s">
        <v>122</v>
      </c>
      <c r="G13" s="17"/>
      <c r="H13" s="17"/>
      <c r="I13" s="34" t="s">
        <v>163</v>
      </c>
      <c r="J13" s="17" t="s">
        <v>185</v>
      </c>
      <c r="K13" s="17"/>
      <c r="L13" s="17" t="s">
        <v>139</v>
      </c>
      <c r="M13" s="17"/>
      <c r="N13" s="23" t="s">
        <v>140</v>
      </c>
      <c r="O13" s="23" t="s">
        <v>188</v>
      </c>
      <c r="P13" s="23" t="s">
        <v>141</v>
      </c>
      <c r="Q13" s="17" t="s">
        <v>189</v>
      </c>
      <c r="R13" s="17" t="s">
        <v>190</v>
      </c>
      <c r="S13" s="17" t="s">
        <v>167</v>
      </c>
      <c r="T13" s="19" t="s">
        <v>128</v>
      </c>
      <c r="U13" s="32" t="s">
        <v>191</v>
      </c>
      <c r="V13" s="17"/>
      <c r="W13" s="17" t="s">
        <v>131</v>
      </c>
      <c r="X13" s="17"/>
      <c r="Y13" s="20">
        <v>2000.0</v>
      </c>
      <c r="Z13" s="21">
        <f t="shared" si="1"/>
        <v>2482</v>
      </c>
      <c r="AA13" s="24">
        <v>45125.0</v>
      </c>
      <c r="AB13" s="25">
        <f t="shared" si="2"/>
        <v>1.652054795</v>
      </c>
      <c r="AC13" s="17"/>
      <c r="AD13" s="26">
        <f t="shared" si="3"/>
        <v>19.82465753</v>
      </c>
      <c r="AE13" s="31">
        <f t="shared" si="4"/>
        <v>19.82465753</v>
      </c>
      <c r="AF13" s="28">
        <f t="shared" si="5"/>
        <v>46586</v>
      </c>
      <c r="AG13" s="29">
        <v>1461.0</v>
      </c>
    </row>
    <row r="14">
      <c r="B14" s="17" t="s">
        <v>192</v>
      </c>
      <c r="C14" s="17" t="s">
        <v>178</v>
      </c>
      <c r="D14" s="17" t="s">
        <v>193</v>
      </c>
      <c r="E14" s="17" t="s">
        <v>194</v>
      </c>
      <c r="F14" s="17" t="s">
        <v>122</v>
      </c>
      <c r="G14" s="17" t="s">
        <v>195</v>
      </c>
      <c r="H14" s="17"/>
      <c r="I14" s="17" t="s">
        <v>124</v>
      </c>
      <c r="J14" s="17" t="s">
        <v>192</v>
      </c>
      <c r="K14" s="17"/>
      <c r="L14" s="17" t="s">
        <v>139</v>
      </c>
      <c r="M14" s="17"/>
      <c r="N14" s="23" t="s">
        <v>140</v>
      </c>
      <c r="O14" s="17"/>
      <c r="P14" s="23" t="s">
        <v>141</v>
      </c>
      <c r="Q14" s="17" t="s">
        <v>196</v>
      </c>
      <c r="R14" s="17" t="s">
        <v>183</v>
      </c>
      <c r="S14" s="17" t="s">
        <v>127</v>
      </c>
      <c r="T14" s="19" t="s">
        <v>128</v>
      </c>
      <c r="U14" s="19" t="s">
        <v>197</v>
      </c>
      <c r="V14" s="17"/>
      <c r="W14" s="17" t="s">
        <v>131</v>
      </c>
      <c r="X14" s="17"/>
      <c r="Y14" s="20">
        <v>2000.0</v>
      </c>
      <c r="Z14" s="21">
        <f t="shared" si="1"/>
        <v>2482</v>
      </c>
      <c r="AA14" s="24">
        <v>44671.0</v>
      </c>
      <c r="AB14" s="25">
        <f t="shared" si="2"/>
        <v>2.895890411</v>
      </c>
      <c r="AC14" s="17"/>
      <c r="AD14" s="26">
        <f t="shared" si="3"/>
        <v>34.75068493</v>
      </c>
      <c r="AE14" s="27">
        <f t="shared" si="4"/>
        <v>34.75068493</v>
      </c>
      <c r="AF14" s="28">
        <f t="shared" si="5"/>
        <v>46132</v>
      </c>
      <c r="AG14" s="29">
        <v>1461.0</v>
      </c>
    </row>
    <row r="15">
      <c r="B15" s="17" t="s">
        <v>198</v>
      </c>
      <c r="C15" s="17" t="s">
        <v>199</v>
      </c>
      <c r="D15" s="17" t="s">
        <v>200</v>
      </c>
      <c r="E15" s="17" t="s">
        <v>201</v>
      </c>
      <c r="F15" s="17" t="s">
        <v>122</v>
      </c>
      <c r="G15" s="17" t="s">
        <v>202</v>
      </c>
      <c r="H15" s="17"/>
      <c r="I15" s="17" t="s">
        <v>124</v>
      </c>
      <c r="J15" s="17" t="s">
        <v>198</v>
      </c>
      <c r="K15" s="17"/>
      <c r="L15" s="17" t="s">
        <v>139</v>
      </c>
      <c r="M15" s="17"/>
      <c r="N15" s="23" t="s">
        <v>147</v>
      </c>
      <c r="O15" s="17"/>
      <c r="P15" s="23" t="s">
        <v>141</v>
      </c>
      <c r="Q15" s="17" t="s">
        <v>203</v>
      </c>
      <c r="R15" s="17" t="s">
        <v>143</v>
      </c>
      <c r="S15" s="17" t="s">
        <v>127</v>
      </c>
      <c r="T15" s="19" t="s">
        <v>128</v>
      </c>
      <c r="U15" s="19" t="s">
        <v>204</v>
      </c>
      <c r="V15" s="17"/>
      <c r="W15" s="17" t="s">
        <v>131</v>
      </c>
      <c r="X15" s="17"/>
      <c r="Y15" s="20">
        <v>1350.0</v>
      </c>
      <c r="Z15" s="21">
        <f t="shared" si="1"/>
        <v>1675.35</v>
      </c>
      <c r="AA15" s="24">
        <v>45019.0</v>
      </c>
      <c r="AB15" s="25">
        <f t="shared" si="2"/>
        <v>1.942465753</v>
      </c>
      <c r="AC15" s="17"/>
      <c r="AD15" s="26">
        <f t="shared" si="3"/>
        <v>23.30958904</v>
      </c>
      <c r="AE15" s="31">
        <f t="shared" si="4"/>
        <v>23.30958904</v>
      </c>
      <c r="AF15" s="28">
        <f t="shared" si="5"/>
        <v>46480</v>
      </c>
      <c r="AG15" s="29">
        <v>1461.0</v>
      </c>
    </row>
    <row r="16">
      <c r="B16" s="17" t="s">
        <v>205</v>
      </c>
      <c r="C16" s="17" t="s">
        <v>152</v>
      </c>
      <c r="D16" s="17" t="s">
        <v>206</v>
      </c>
      <c r="E16" s="17" t="s">
        <v>207</v>
      </c>
      <c r="F16" s="17" t="s">
        <v>122</v>
      </c>
      <c r="G16" s="17" t="s">
        <v>208</v>
      </c>
      <c r="H16" s="17"/>
      <c r="I16" s="17" t="s">
        <v>124</v>
      </c>
      <c r="J16" s="17" t="s">
        <v>205</v>
      </c>
      <c r="K16" s="17"/>
      <c r="L16" s="17" t="s">
        <v>139</v>
      </c>
      <c r="M16" s="17"/>
      <c r="N16" s="23" t="s">
        <v>147</v>
      </c>
      <c r="O16" s="17"/>
      <c r="P16" s="23" t="s">
        <v>141</v>
      </c>
      <c r="Q16" s="17" t="s">
        <v>209</v>
      </c>
      <c r="R16" s="17" t="s">
        <v>143</v>
      </c>
      <c r="S16" s="17" t="s">
        <v>127</v>
      </c>
      <c r="T16" s="19" t="s">
        <v>128</v>
      </c>
      <c r="U16" s="32" t="s">
        <v>204</v>
      </c>
      <c r="V16" s="17"/>
      <c r="W16" s="17" t="s">
        <v>131</v>
      </c>
      <c r="X16" s="17"/>
      <c r="Y16" s="20">
        <v>1800.09</v>
      </c>
      <c r="Z16" s="21">
        <f t="shared" si="1"/>
        <v>2233.91169</v>
      </c>
      <c r="AA16" s="24">
        <v>44935.0</v>
      </c>
      <c r="AB16" s="25">
        <f t="shared" si="2"/>
        <v>2.17260274</v>
      </c>
      <c r="AC16" s="17"/>
      <c r="AD16" s="26">
        <f t="shared" si="3"/>
        <v>26.07123288</v>
      </c>
      <c r="AE16" s="27">
        <f t="shared" si="4"/>
        <v>26.07123288</v>
      </c>
      <c r="AF16" s="28">
        <f t="shared" si="5"/>
        <v>46396</v>
      </c>
      <c r="AG16" s="29">
        <v>1461.0</v>
      </c>
    </row>
    <row r="17">
      <c r="B17" s="17" t="s">
        <v>210</v>
      </c>
      <c r="C17" s="17" t="s">
        <v>178</v>
      </c>
      <c r="D17" s="17" t="s">
        <v>211</v>
      </c>
      <c r="E17" s="17" t="s">
        <v>212</v>
      </c>
      <c r="F17" s="17" t="s">
        <v>122</v>
      </c>
      <c r="G17" s="17" t="s">
        <v>213</v>
      </c>
      <c r="H17" s="17"/>
      <c r="I17" s="17" t="s">
        <v>124</v>
      </c>
      <c r="J17" s="17" t="s">
        <v>210</v>
      </c>
      <c r="K17" s="17"/>
      <c r="L17" s="17" t="s">
        <v>139</v>
      </c>
      <c r="M17" s="17"/>
      <c r="N17" s="23" t="s">
        <v>140</v>
      </c>
      <c r="O17" s="17"/>
      <c r="P17" s="23" t="s">
        <v>141</v>
      </c>
      <c r="Q17" s="17" t="s">
        <v>214</v>
      </c>
      <c r="R17" s="17" t="s">
        <v>215</v>
      </c>
      <c r="S17" s="17" t="s">
        <v>127</v>
      </c>
      <c r="T17" s="19" t="s">
        <v>128</v>
      </c>
      <c r="U17" s="19" t="s">
        <v>216</v>
      </c>
      <c r="V17" s="17"/>
      <c r="W17" s="17" t="s">
        <v>131</v>
      </c>
      <c r="X17" s="17"/>
      <c r="Y17" s="20">
        <v>2000.0</v>
      </c>
      <c r="Z17" s="21">
        <f t="shared" si="1"/>
        <v>2482</v>
      </c>
      <c r="AA17" s="24">
        <v>44567.0</v>
      </c>
      <c r="AB17" s="25">
        <f t="shared" si="2"/>
        <v>3.180821918</v>
      </c>
      <c r="AC17" s="17"/>
      <c r="AD17" s="26">
        <f t="shared" si="3"/>
        <v>38.16986301</v>
      </c>
      <c r="AE17" s="33">
        <f t="shared" si="4"/>
        <v>38.16986301</v>
      </c>
      <c r="AF17" s="28">
        <f t="shared" si="5"/>
        <v>46028</v>
      </c>
      <c r="AG17" s="29">
        <v>1461.0</v>
      </c>
    </row>
    <row r="18">
      <c r="B18" s="17" t="s">
        <v>217</v>
      </c>
      <c r="C18" s="17" t="s">
        <v>152</v>
      </c>
      <c r="D18" s="17"/>
      <c r="E18" s="17"/>
      <c r="F18" s="17" t="s">
        <v>122</v>
      </c>
      <c r="G18" s="17" t="s">
        <v>218</v>
      </c>
      <c r="H18" s="17"/>
      <c r="I18" s="17" t="s">
        <v>124</v>
      </c>
      <c r="J18" s="17" t="s">
        <v>217</v>
      </c>
      <c r="K18" s="17"/>
      <c r="L18" s="17" t="s">
        <v>139</v>
      </c>
      <c r="M18" s="17"/>
      <c r="N18" s="23" t="s">
        <v>147</v>
      </c>
      <c r="O18" s="17"/>
      <c r="P18" s="23" t="s">
        <v>141</v>
      </c>
      <c r="Q18" s="17" t="s">
        <v>219</v>
      </c>
      <c r="R18" s="17" t="s">
        <v>143</v>
      </c>
      <c r="S18" s="17" t="s">
        <v>127</v>
      </c>
      <c r="T18" s="19" t="s">
        <v>128</v>
      </c>
      <c r="U18" s="19" t="s">
        <v>220</v>
      </c>
      <c r="V18" s="17"/>
      <c r="W18" s="17" t="s">
        <v>131</v>
      </c>
      <c r="X18" s="17"/>
      <c r="Y18" s="20">
        <v>1800.09</v>
      </c>
      <c r="Z18" s="21">
        <f t="shared" si="1"/>
        <v>2233.91169</v>
      </c>
      <c r="AA18" s="24">
        <v>44872.0</v>
      </c>
      <c r="AB18" s="25">
        <f t="shared" si="2"/>
        <v>2.345205479</v>
      </c>
      <c r="AC18" s="17"/>
      <c r="AD18" s="26">
        <f t="shared" si="3"/>
        <v>28.14246575</v>
      </c>
      <c r="AE18" s="27">
        <f t="shared" si="4"/>
        <v>28.14246575</v>
      </c>
      <c r="AF18" s="28">
        <f t="shared" si="5"/>
        <v>46333</v>
      </c>
      <c r="AG18" s="29">
        <v>1461.0</v>
      </c>
    </row>
    <row r="19">
      <c r="B19" s="17" t="s">
        <v>221</v>
      </c>
      <c r="C19" s="17" t="s">
        <v>135</v>
      </c>
      <c r="D19" s="17" t="s">
        <v>222</v>
      </c>
      <c r="E19" s="17" t="s">
        <v>223</v>
      </c>
      <c r="F19" s="17" t="s">
        <v>122</v>
      </c>
      <c r="G19" s="17" t="s">
        <v>224</v>
      </c>
      <c r="H19" s="17"/>
      <c r="I19" s="17" t="s">
        <v>124</v>
      </c>
      <c r="J19" s="17" t="s">
        <v>221</v>
      </c>
      <c r="K19" s="17"/>
      <c r="L19" s="17" t="s">
        <v>139</v>
      </c>
      <c r="M19" s="17"/>
      <c r="N19" s="23" t="s">
        <v>147</v>
      </c>
      <c r="O19" s="17"/>
      <c r="P19" s="23" t="s">
        <v>141</v>
      </c>
      <c r="Q19" s="17" t="s">
        <v>225</v>
      </c>
      <c r="R19" s="17" t="s">
        <v>143</v>
      </c>
      <c r="S19" s="17" t="s">
        <v>127</v>
      </c>
      <c r="T19" s="19" t="s">
        <v>128</v>
      </c>
      <c r="U19" s="19" t="s">
        <v>204</v>
      </c>
      <c r="V19" s="17"/>
      <c r="W19" s="17" t="s">
        <v>131</v>
      </c>
      <c r="X19" s="17"/>
      <c r="Y19" s="20">
        <v>1800.09</v>
      </c>
      <c r="Z19" s="21">
        <f t="shared" si="1"/>
        <v>2233.91169</v>
      </c>
      <c r="AA19" s="24">
        <v>44704.0</v>
      </c>
      <c r="AB19" s="25">
        <f t="shared" si="2"/>
        <v>2.805479452</v>
      </c>
      <c r="AC19" s="17"/>
      <c r="AD19" s="26">
        <f t="shared" si="3"/>
        <v>33.66575342</v>
      </c>
      <c r="AE19" s="27">
        <f t="shared" si="4"/>
        <v>33.66575342</v>
      </c>
      <c r="AF19" s="28">
        <f t="shared" si="5"/>
        <v>46165</v>
      </c>
      <c r="AG19" s="29">
        <v>1461.0</v>
      </c>
    </row>
    <row r="20">
      <c r="B20" s="17" t="s">
        <v>226</v>
      </c>
      <c r="C20" s="17" t="s">
        <v>135</v>
      </c>
      <c r="D20" s="17" t="s">
        <v>227</v>
      </c>
      <c r="E20" s="17" t="s">
        <v>228</v>
      </c>
      <c r="F20" s="17" t="s">
        <v>122</v>
      </c>
      <c r="G20" s="17" t="s">
        <v>229</v>
      </c>
      <c r="H20" s="17"/>
      <c r="I20" s="17" t="s">
        <v>124</v>
      </c>
      <c r="J20" s="17" t="s">
        <v>226</v>
      </c>
      <c r="K20" s="17"/>
      <c r="L20" s="17" t="s">
        <v>139</v>
      </c>
      <c r="M20" s="17"/>
      <c r="N20" s="23" t="s">
        <v>140</v>
      </c>
      <c r="O20" s="17"/>
      <c r="P20" s="23" t="s">
        <v>141</v>
      </c>
      <c r="Q20" s="17" t="s">
        <v>230</v>
      </c>
      <c r="R20" s="17"/>
      <c r="S20" s="17" t="s">
        <v>127</v>
      </c>
      <c r="T20" s="19" t="s">
        <v>128</v>
      </c>
      <c r="U20" s="19" t="s">
        <v>231</v>
      </c>
      <c r="V20" s="17"/>
      <c r="W20" s="17" t="s">
        <v>131</v>
      </c>
      <c r="X20" s="17"/>
      <c r="Y20" s="20">
        <v>1600.0</v>
      </c>
      <c r="Z20" s="21">
        <f t="shared" si="1"/>
        <v>1985.6</v>
      </c>
      <c r="AA20" s="24">
        <v>44641.0</v>
      </c>
      <c r="AB20" s="25">
        <f t="shared" si="2"/>
        <v>2.978082192</v>
      </c>
      <c r="AC20" s="17"/>
      <c r="AD20" s="26">
        <f t="shared" si="3"/>
        <v>35.7369863</v>
      </c>
      <c r="AE20" s="27">
        <f t="shared" si="4"/>
        <v>35.7369863</v>
      </c>
      <c r="AF20" s="28">
        <f t="shared" si="5"/>
        <v>46102</v>
      </c>
      <c r="AG20" s="29">
        <v>1461.0</v>
      </c>
    </row>
    <row r="21">
      <c r="B21" s="17" t="s">
        <v>232</v>
      </c>
      <c r="C21" s="17" t="s">
        <v>152</v>
      </c>
      <c r="D21" s="17"/>
      <c r="E21" s="17"/>
      <c r="F21" s="17" t="s">
        <v>122</v>
      </c>
      <c r="G21" s="17" t="s">
        <v>233</v>
      </c>
      <c r="H21" s="17"/>
      <c r="I21" s="17" t="s">
        <v>124</v>
      </c>
      <c r="J21" s="17" t="s">
        <v>232</v>
      </c>
      <c r="K21" s="17"/>
      <c r="L21" s="17"/>
      <c r="M21" s="17"/>
      <c r="N21" s="23" t="s">
        <v>147</v>
      </c>
      <c r="O21" s="17"/>
      <c r="P21" s="23" t="s">
        <v>141</v>
      </c>
      <c r="Q21" s="17" t="s">
        <v>234</v>
      </c>
      <c r="R21" s="17"/>
      <c r="S21" s="17"/>
      <c r="T21" s="19" t="s">
        <v>128</v>
      </c>
      <c r="U21" s="19" t="s">
        <v>235</v>
      </c>
      <c r="V21" s="17"/>
      <c r="W21" s="17"/>
      <c r="X21" s="17"/>
      <c r="Y21" s="20">
        <v>1800.09</v>
      </c>
      <c r="Z21" s="21">
        <f t="shared" si="1"/>
        <v>2233.91169</v>
      </c>
      <c r="AA21" s="24">
        <v>45125.0</v>
      </c>
      <c r="AB21" s="25">
        <f t="shared" si="2"/>
        <v>1.652054795</v>
      </c>
      <c r="AC21" s="17"/>
      <c r="AD21" s="26">
        <f t="shared" si="3"/>
        <v>19.82465753</v>
      </c>
      <c r="AE21" s="31">
        <f t="shared" si="4"/>
        <v>19.82465753</v>
      </c>
      <c r="AF21" s="28">
        <f t="shared" si="5"/>
        <v>46586</v>
      </c>
      <c r="AG21" s="29">
        <v>1461.0</v>
      </c>
    </row>
    <row r="22">
      <c r="B22" s="17" t="s">
        <v>236</v>
      </c>
      <c r="C22" s="17" t="s">
        <v>237</v>
      </c>
      <c r="D22" s="17"/>
      <c r="E22" s="17"/>
      <c r="F22" s="17" t="s">
        <v>122</v>
      </c>
      <c r="G22" s="17" t="s">
        <v>123</v>
      </c>
      <c r="H22" s="17"/>
      <c r="I22" s="17" t="s">
        <v>124</v>
      </c>
      <c r="J22" s="17" t="s">
        <v>236</v>
      </c>
      <c r="K22" s="17"/>
      <c r="L22" s="17" t="s">
        <v>238</v>
      </c>
      <c r="M22" s="17"/>
      <c r="N22" s="17"/>
      <c r="O22" s="17"/>
      <c r="P22" s="17" t="s">
        <v>239</v>
      </c>
      <c r="Q22" s="17" t="s">
        <v>240</v>
      </c>
      <c r="R22" s="17"/>
      <c r="S22" s="17" t="s">
        <v>127</v>
      </c>
      <c r="T22" s="19" t="s">
        <v>128</v>
      </c>
      <c r="U22" s="19"/>
      <c r="V22" s="17" t="s">
        <v>241</v>
      </c>
      <c r="W22" s="17"/>
      <c r="X22" s="17"/>
      <c r="Y22" s="20">
        <v>234.0</v>
      </c>
      <c r="Z22" s="21">
        <f t="shared" si="1"/>
        <v>290.394</v>
      </c>
      <c r="AA22" s="22"/>
      <c r="AB22" s="22"/>
      <c r="AC22" s="17"/>
      <c r="AD22" s="17"/>
      <c r="AE22" s="17"/>
      <c r="AF22" s="17"/>
      <c r="AG22" s="17"/>
    </row>
    <row r="23">
      <c r="B23" s="17" t="s">
        <v>242</v>
      </c>
      <c r="C23" s="17" t="s">
        <v>243</v>
      </c>
      <c r="D23" s="17"/>
      <c r="E23" s="17"/>
      <c r="F23" s="17" t="s">
        <v>122</v>
      </c>
      <c r="G23" s="17" t="s">
        <v>123</v>
      </c>
      <c r="H23" s="17"/>
      <c r="I23" s="17" t="s">
        <v>124</v>
      </c>
      <c r="J23" s="17" t="s">
        <v>242</v>
      </c>
      <c r="K23" s="17"/>
      <c r="L23" s="17" t="s">
        <v>238</v>
      </c>
      <c r="M23" s="17"/>
      <c r="N23" s="17"/>
      <c r="O23" s="17"/>
      <c r="P23" s="17" t="s">
        <v>239</v>
      </c>
      <c r="Q23" s="17" t="s">
        <v>54</v>
      </c>
      <c r="R23" s="17"/>
      <c r="S23" s="17" t="s">
        <v>127</v>
      </c>
      <c r="T23" s="19" t="s">
        <v>128</v>
      </c>
      <c r="U23" s="19"/>
      <c r="V23" s="17"/>
      <c r="W23" s="17"/>
      <c r="X23" s="17"/>
      <c r="Y23" s="20">
        <v>280.0</v>
      </c>
      <c r="Z23" s="21">
        <f t="shared" si="1"/>
        <v>347.48</v>
      </c>
      <c r="AA23" s="22"/>
      <c r="AB23" s="22"/>
      <c r="AC23" s="17"/>
      <c r="AD23" s="17"/>
      <c r="AE23" s="17"/>
      <c r="AF23" s="17"/>
      <c r="AG23" s="17"/>
    </row>
    <row r="24">
      <c r="B24" s="17" t="s">
        <v>244</v>
      </c>
      <c r="C24" s="17" t="s">
        <v>245</v>
      </c>
      <c r="D24" s="17"/>
      <c r="E24" s="17"/>
      <c r="F24" s="17" t="s">
        <v>122</v>
      </c>
      <c r="G24" s="17" t="s">
        <v>123</v>
      </c>
      <c r="H24" s="17"/>
      <c r="I24" s="17" t="s">
        <v>124</v>
      </c>
      <c r="J24" s="17" t="s">
        <v>244</v>
      </c>
      <c r="K24" s="17"/>
      <c r="L24" s="17" t="s">
        <v>238</v>
      </c>
      <c r="M24" s="17"/>
      <c r="N24" s="17"/>
      <c r="O24" s="17"/>
      <c r="P24" s="17" t="s">
        <v>239</v>
      </c>
      <c r="Q24" s="17" t="s">
        <v>246</v>
      </c>
      <c r="R24" s="17"/>
      <c r="S24" s="17" t="s">
        <v>127</v>
      </c>
      <c r="T24" s="19" t="s">
        <v>128</v>
      </c>
      <c r="U24" s="19"/>
      <c r="V24" s="17"/>
      <c r="W24" s="17"/>
      <c r="X24" s="17"/>
      <c r="Y24" s="20">
        <v>2000.0</v>
      </c>
      <c r="Z24" s="21">
        <f t="shared" si="1"/>
        <v>2482</v>
      </c>
      <c r="AA24" s="22"/>
      <c r="AB24" s="22"/>
      <c r="AC24" s="17"/>
      <c r="AD24" s="17"/>
      <c r="AE24" s="17"/>
      <c r="AF24" s="17"/>
      <c r="AG24" s="17"/>
    </row>
    <row r="25">
      <c r="B25" s="17" t="s">
        <v>247</v>
      </c>
      <c r="C25" s="17" t="s">
        <v>248</v>
      </c>
      <c r="D25" s="17"/>
      <c r="E25" s="17"/>
      <c r="F25" s="17" t="s">
        <v>122</v>
      </c>
      <c r="G25" s="17" t="s">
        <v>123</v>
      </c>
      <c r="H25" s="17"/>
      <c r="I25" s="17" t="s">
        <v>124</v>
      </c>
      <c r="J25" s="17" t="s">
        <v>247</v>
      </c>
      <c r="K25" s="17"/>
      <c r="L25" s="17" t="s">
        <v>125</v>
      </c>
      <c r="M25" s="17"/>
      <c r="N25" s="17"/>
      <c r="O25" s="17"/>
      <c r="P25" s="17" t="s">
        <v>126</v>
      </c>
      <c r="Q25" s="17"/>
      <c r="R25" s="17"/>
      <c r="S25" s="17" t="s">
        <v>127</v>
      </c>
      <c r="T25" s="19" t="s">
        <v>128</v>
      </c>
      <c r="U25" s="19"/>
      <c r="V25" s="17"/>
      <c r="W25" s="17"/>
      <c r="X25" s="17"/>
      <c r="Y25" s="20">
        <v>450.0</v>
      </c>
      <c r="Z25" s="21">
        <f t="shared" si="1"/>
        <v>558.45</v>
      </c>
      <c r="AA25" s="22"/>
      <c r="AB25" s="22"/>
      <c r="AC25" s="17"/>
      <c r="AD25" s="17"/>
      <c r="AE25" s="17"/>
      <c r="AF25" s="17"/>
      <c r="AG25" s="17"/>
    </row>
    <row r="26">
      <c r="B26" s="17" t="s">
        <v>249</v>
      </c>
      <c r="C26" s="17" t="s">
        <v>248</v>
      </c>
      <c r="D26" s="17"/>
      <c r="E26" s="17"/>
      <c r="F26" s="17" t="s">
        <v>122</v>
      </c>
      <c r="G26" s="17" t="s">
        <v>123</v>
      </c>
      <c r="H26" s="17"/>
      <c r="I26" s="17" t="s">
        <v>124</v>
      </c>
      <c r="J26" s="17" t="s">
        <v>249</v>
      </c>
      <c r="K26" s="17"/>
      <c r="L26" s="17" t="s">
        <v>125</v>
      </c>
      <c r="M26" s="17"/>
      <c r="N26" s="17"/>
      <c r="O26" s="17"/>
      <c r="P26" s="17" t="s">
        <v>126</v>
      </c>
      <c r="Q26" s="17"/>
      <c r="R26" s="17"/>
      <c r="S26" s="17" t="s">
        <v>127</v>
      </c>
      <c r="T26" s="19" t="s">
        <v>128</v>
      </c>
      <c r="U26" s="19"/>
      <c r="V26" s="17"/>
      <c r="W26" s="17"/>
      <c r="X26" s="17"/>
      <c r="Y26" s="20">
        <v>250.0</v>
      </c>
      <c r="Z26" s="21">
        <f t="shared" si="1"/>
        <v>310.25</v>
      </c>
      <c r="AA26" s="22"/>
      <c r="AB26" s="22"/>
      <c r="AC26" s="17"/>
      <c r="AD26" s="17"/>
      <c r="AE26" s="17"/>
      <c r="AF26" s="17"/>
      <c r="AG26" s="17"/>
    </row>
    <row r="27">
      <c r="B27" s="17" t="s">
        <v>250</v>
      </c>
      <c r="C27" s="17" t="s">
        <v>248</v>
      </c>
      <c r="D27" s="17"/>
      <c r="E27" s="17"/>
      <c r="F27" s="17" t="s">
        <v>122</v>
      </c>
      <c r="G27" s="17" t="s">
        <v>123</v>
      </c>
      <c r="H27" s="17"/>
      <c r="I27" s="17" t="s">
        <v>124</v>
      </c>
      <c r="J27" s="17" t="s">
        <v>250</v>
      </c>
      <c r="K27" s="17"/>
      <c r="L27" s="17" t="s">
        <v>251</v>
      </c>
      <c r="M27" s="17"/>
      <c r="N27" s="17"/>
      <c r="O27" s="17"/>
      <c r="P27" s="17" t="s">
        <v>126</v>
      </c>
      <c r="Q27" s="17"/>
      <c r="R27" s="17"/>
      <c r="S27" s="17" t="s">
        <v>127</v>
      </c>
      <c r="T27" s="19" t="s">
        <v>128</v>
      </c>
      <c r="U27" s="19"/>
      <c r="V27" s="17"/>
      <c r="W27" s="17"/>
      <c r="X27" s="17"/>
      <c r="Y27" s="20">
        <v>250.0</v>
      </c>
      <c r="Z27" s="21">
        <f t="shared" si="1"/>
        <v>310.25</v>
      </c>
      <c r="AA27" s="22"/>
      <c r="AB27" s="22"/>
      <c r="AC27" s="17"/>
      <c r="AD27" s="17"/>
      <c r="AE27" s="17"/>
      <c r="AF27" s="17"/>
      <c r="AG27" s="17"/>
    </row>
    <row r="28">
      <c r="B28" s="17" t="s">
        <v>252</v>
      </c>
      <c r="C28" s="17" t="s">
        <v>253</v>
      </c>
      <c r="D28" s="17"/>
      <c r="E28" s="17"/>
      <c r="F28" s="17" t="s">
        <v>122</v>
      </c>
      <c r="G28" s="17" t="s">
        <v>123</v>
      </c>
      <c r="H28" s="17"/>
      <c r="I28" s="17" t="s">
        <v>124</v>
      </c>
      <c r="J28" s="17" t="s">
        <v>252</v>
      </c>
      <c r="K28" s="17"/>
      <c r="L28" s="17" t="s">
        <v>238</v>
      </c>
      <c r="M28" s="17"/>
      <c r="N28" s="17"/>
      <c r="O28" s="17" t="s">
        <v>254</v>
      </c>
      <c r="P28" s="17" t="s">
        <v>239</v>
      </c>
      <c r="Q28" s="17" t="s">
        <v>255</v>
      </c>
      <c r="R28" s="17"/>
      <c r="S28" s="17" t="s">
        <v>127</v>
      </c>
      <c r="T28" s="19" t="s">
        <v>128</v>
      </c>
      <c r="U28" s="19"/>
      <c r="V28" s="17" t="s">
        <v>241</v>
      </c>
      <c r="W28" s="17"/>
      <c r="X28" s="17"/>
      <c r="Y28" s="20">
        <v>450.0</v>
      </c>
      <c r="Z28" s="21">
        <f t="shared" si="1"/>
        <v>558.45</v>
      </c>
      <c r="AA28" s="22"/>
      <c r="AB28" s="22"/>
      <c r="AC28" s="17"/>
      <c r="AD28" s="17"/>
      <c r="AE28" s="17"/>
      <c r="AF28" s="17"/>
      <c r="AG28" s="17"/>
    </row>
    <row r="29">
      <c r="B29" s="17" t="s">
        <v>256</v>
      </c>
      <c r="C29" s="17" t="s">
        <v>257</v>
      </c>
      <c r="D29" s="17"/>
      <c r="E29" s="17"/>
      <c r="F29" s="17" t="s">
        <v>122</v>
      </c>
      <c r="G29" s="17" t="s">
        <v>123</v>
      </c>
      <c r="H29" s="17"/>
      <c r="I29" s="17" t="s">
        <v>124</v>
      </c>
      <c r="J29" s="17" t="s">
        <v>256</v>
      </c>
      <c r="K29" s="17"/>
      <c r="L29" s="17" t="s">
        <v>125</v>
      </c>
      <c r="M29" s="17"/>
      <c r="N29" s="17"/>
      <c r="O29" s="17"/>
      <c r="P29" s="17" t="s">
        <v>126</v>
      </c>
      <c r="Q29" s="17"/>
      <c r="R29" s="17"/>
      <c r="S29" s="17" t="s">
        <v>127</v>
      </c>
      <c r="T29" s="19" t="s">
        <v>128</v>
      </c>
      <c r="U29" s="19"/>
      <c r="V29" s="17"/>
      <c r="W29" s="17"/>
      <c r="X29" s="17"/>
      <c r="Y29" s="20">
        <v>250.0</v>
      </c>
      <c r="Z29" s="21">
        <f t="shared" si="1"/>
        <v>310.25</v>
      </c>
      <c r="AA29" s="22"/>
      <c r="AB29" s="22"/>
      <c r="AC29" s="17"/>
      <c r="AD29" s="17"/>
      <c r="AE29" s="17"/>
      <c r="AF29" s="17"/>
      <c r="AG29" s="17"/>
    </row>
    <row r="30">
      <c r="B30" s="17" t="s">
        <v>258</v>
      </c>
      <c r="C30" s="17" t="s">
        <v>259</v>
      </c>
      <c r="D30" s="17"/>
      <c r="E30" s="17"/>
      <c r="F30" s="17" t="s">
        <v>122</v>
      </c>
      <c r="G30" s="17" t="s">
        <v>123</v>
      </c>
      <c r="H30" s="17"/>
      <c r="I30" s="17" t="s">
        <v>124</v>
      </c>
      <c r="J30" s="17" t="s">
        <v>258</v>
      </c>
      <c r="K30" s="17"/>
      <c r="L30" s="17" t="s">
        <v>251</v>
      </c>
      <c r="M30" s="17"/>
      <c r="N30" s="17"/>
      <c r="O30" s="17"/>
      <c r="P30" s="17" t="s">
        <v>260</v>
      </c>
      <c r="Q30" s="17"/>
      <c r="R30" s="17"/>
      <c r="S30" s="17" t="s">
        <v>127</v>
      </c>
      <c r="T30" s="19" t="s">
        <v>128</v>
      </c>
      <c r="U30" s="19"/>
      <c r="V30" s="17"/>
      <c r="W30" s="17"/>
      <c r="X30" s="17"/>
      <c r="Y30" s="20">
        <v>109.0</v>
      </c>
      <c r="Z30" s="21">
        <f t="shared" si="1"/>
        <v>135.269</v>
      </c>
      <c r="AA30" s="22"/>
      <c r="AB30" s="22"/>
      <c r="AC30" s="17"/>
      <c r="AD30" s="17"/>
      <c r="AE30" s="17"/>
      <c r="AF30" s="17"/>
      <c r="AG30" s="17"/>
    </row>
    <row r="31">
      <c r="B31" s="17" t="s">
        <v>261</v>
      </c>
      <c r="C31" s="17" t="s">
        <v>262</v>
      </c>
      <c r="D31" s="17"/>
      <c r="E31" s="17"/>
      <c r="F31" s="17" t="s">
        <v>122</v>
      </c>
      <c r="G31" s="17" t="s">
        <v>123</v>
      </c>
      <c r="H31" s="17"/>
      <c r="I31" s="17" t="s">
        <v>124</v>
      </c>
      <c r="J31" s="17" t="s">
        <v>261</v>
      </c>
      <c r="K31" s="17"/>
      <c r="L31" s="17" t="s">
        <v>251</v>
      </c>
      <c r="M31" s="17"/>
      <c r="N31" s="17"/>
      <c r="O31" s="17"/>
      <c r="P31" s="17" t="s">
        <v>260</v>
      </c>
      <c r="Q31" s="17"/>
      <c r="R31" s="17"/>
      <c r="S31" s="17" t="s">
        <v>127</v>
      </c>
      <c r="T31" s="19" t="s">
        <v>128</v>
      </c>
      <c r="U31" s="19"/>
      <c r="V31" s="17"/>
      <c r="W31" s="17"/>
      <c r="X31" s="17"/>
      <c r="Y31" s="20">
        <v>347.17</v>
      </c>
      <c r="Z31" s="21">
        <f t="shared" si="1"/>
        <v>430.83797</v>
      </c>
      <c r="AA31" s="22"/>
      <c r="AB31" s="22"/>
      <c r="AC31" s="17"/>
      <c r="AD31" s="17"/>
      <c r="AE31" s="17"/>
      <c r="AF31" s="17"/>
      <c r="AG31" s="17"/>
    </row>
    <row r="32">
      <c r="B32" s="17" t="s">
        <v>263</v>
      </c>
      <c r="C32" s="17" t="s">
        <v>264</v>
      </c>
      <c r="D32" s="17"/>
      <c r="E32" s="17"/>
      <c r="F32" s="17" t="s">
        <v>122</v>
      </c>
      <c r="G32" s="17" t="s">
        <v>123</v>
      </c>
      <c r="H32" s="17"/>
      <c r="I32" s="17" t="s">
        <v>124</v>
      </c>
      <c r="J32" s="17" t="s">
        <v>263</v>
      </c>
      <c r="K32" s="17"/>
      <c r="L32" s="17" t="s">
        <v>238</v>
      </c>
      <c r="M32" s="17"/>
      <c r="N32" s="17"/>
      <c r="O32" s="17"/>
      <c r="P32" s="17" t="s">
        <v>239</v>
      </c>
      <c r="Q32" s="17" t="s">
        <v>265</v>
      </c>
      <c r="R32" s="17"/>
      <c r="S32" s="17" t="s">
        <v>127</v>
      </c>
      <c r="T32" s="19" t="s">
        <v>128</v>
      </c>
      <c r="U32" s="19"/>
      <c r="V32" s="17" t="s">
        <v>241</v>
      </c>
      <c r="W32" s="17"/>
      <c r="X32" s="17"/>
      <c r="Y32" s="20">
        <v>350.0</v>
      </c>
      <c r="Z32" s="21">
        <f t="shared" si="1"/>
        <v>434.35</v>
      </c>
      <c r="AA32" s="22"/>
      <c r="AB32" s="22"/>
      <c r="AC32" s="17"/>
      <c r="AD32" s="17"/>
      <c r="AE32" s="17"/>
      <c r="AF32" s="17"/>
      <c r="AG32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13.63"/>
    <col customWidth="1" min="3" max="3" width="23.0"/>
    <col customWidth="1" min="4" max="4" width="21.0"/>
    <col customWidth="1" min="5" max="6" width="18.13"/>
    <col customWidth="1" min="7" max="7" width="23.0"/>
    <col customWidth="1" min="8" max="8" width="20.38"/>
  </cols>
  <sheetData>
    <row r="1" ht="15.75" customHeight="1">
      <c r="A1" s="35" t="s">
        <v>266</v>
      </c>
      <c r="B1" s="36" t="s">
        <v>267</v>
      </c>
      <c r="C1" s="36" t="s">
        <v>268</v>
      </c>
      <c r="D1" s="36" t="s">
        <v>13</v>
      </c>
      <c r="E1" s="37" t="s">
        <v>14</v>
      </c>
      <c r="F1" s="37" t="s">
        <v>15</v>
      </c>
      <c r="G1" s="36" t="s">
        <v>269</v>
      </c>
      <c r="H1" s="36" t="s">
        <v>270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15.75" customHeight="1">
      <c r="A2" s="38" t="s">
        <v>271</v>
      </c>
      <c r="B2" s="39" t="s">
        <v>272</v>
      </c>
      <c r="C2" s="39" t="s">
        <v>38</v>
      </c>
      <c r="D2" s="40">
        <v>1.0</v>
      </c>
      <c r="E2" s="40">
        <v>2.0</v>
      </c>
      <c r="F2" s="40">
        <v>4.0</v>
      </c>
      <c r="G2" s="39"/>
      <c r="H2" s="39" t="s">
        <v>273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.75" customHeight="1">
      <c r="A3" s="41" t="s">
        <v>274</v>
      </c>
      <c r="B3" s="42" t="s">
        <v>275</v>
      </c>
      <c r="C3" s="39" t="s">
        <v>38</v>
      </c>
      <c r="D3" s="40">
        <v>1.0</v>
      </c>
      <c r="E3" s="40">
        <v>3.0</v>
      </c>
      <c r="F3" s="40">
        <v>4.0</v>
      </c>
      <c r="G3" s="39"/>
      <c r="H3" s="39" t="s">
        <v>276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38" t="s">
        <v>277</v>
      </c>
      <c r="B4" s="42" t="s">
        <v>278</v>
      </c>
      <c r="C4" s="39" t="s">
        <v>279</v>
      </c>
      <c r="D4" s="40">
        <v>1.0</v>
      </c>
      <c r="E4" s="40">
        <v>3.0</v>
      </c>
      <c r="F4" s="40">
        <v>1.0</v>
      </c>
      <c r="G4" s="43" t="s">
        <v>280</v>
      </c>
      <c r="H4" s="39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15.75" customHeight="1">
      <c r="A5" s="44" t="s">
        <v>281</v>
      </c>
      <c r="B5" s="45" t="s">
        <v>282</v>
      </c>
      <c r="C5" s="9" t="s">
        <v>279</v>
      </c>
      <c r="D5" s="10">
        <v>1.0</v>
      </c>
      <c r="E5" s="10">
        <v>3.0</v>
      </c>
      <c r="F5" s="10">
        <v>1.0</v>
      </c>
      <c r="G5" s="44" t="s">
        <v>280</v>
      </c>
      <c r="H5" s="9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46"/>
      <c r="B6" s="46"/>
      <c r="C6" s="46"/>
      <c r="D6" s="46"/>
      <c r="E6" s="46"/>
      <c r="F6" s="4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47" t="s">
        <v>283</v>
      </c>
      <c r="B7" s="48" t="s">
        <v>284</v>
      </c>
      <c r="C7" s="48" t="s">
        <v>285</v>
      </c>
      <c r="D7" s="48" t="s">
        <v>13</v>
      </c>
      <c r="E7" s="49" t="s">
        <v>14</v>
      </c>
      <c r="F7" s="49" t="s">
        <v>15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38" t="s">
        <v>286</v>
      </c>
      <c r="B8" s="45" t="s">
        <v>287</v>
      </c>
      <c r="C8" s="39" t="s">
        <v>288</v>
      </c>
      <c r="D8" s="40">
        <v>1.0</v>
      </c>
      <c r="E8" s="40">
        <v>3.0</v>
      </c>
      <c r="F8" s="40">
        <v>4.0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38" t="s">
        <v>289</v>
      </c>
      <c r="B9" s="45" t="s">
        <v>290</v>
      </c>
      <c r="C9" s="39" t="s">
        <v>288</v>
      </c>
      <c r="D9" s="40">
        <v>1.0</v>
      </c>
      <c r="E9" s="40">
        <v>3.0</v>
      </c>
      <c r="F9" s="40">
        <v>4.0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38" t="s">
        <v>291</v>
      </c>
      <c r="B10" s="45" t="s">
        <v>292</v>
      </c>
      <c r="C10" s="39" t="s">
        <v>288</v>
      </c>
      <c r="D10" s="40">
        <v>1.0</v>
      </c>
      <c r="E10" s="40">
        <v>3.0</v>
      </c>
      <c r="F10" s="40">
        <v>4.0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38" t="s">
        <v>293</v>
      </c>
      <c r="B11" s="45" t="s">
        <v>294</v>
      </c>
      <c r="C11" s="39" t="s">
        <v>288</v>
      </c>
      <c r="D11" s="40">
        <v>1.0</v>
      </c>
      <c r="E11" s="40">
        <v>3.0</v>
      </c>
      <c r="F11" s="40">
        <v>4.0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15.75" customHeight="1">
      <c r="A12" s="38" t="s">
        <v>295</v>
      </c>
      <c r="B12" s="50" t="s">
        <v>296</v>
      </c>
      <c r="C12" s="39" t="s">
        <v>288</v>
      </c>
      <c r="D12" s="40">
        <v>4.0</v>
      </c>
      <c r="E12" s="40">
        <v>4.0</v>
      </c>
      <c r="F12" s="40">
        <v>4.0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15.75" customHeight="1">
      <c r="A13" s="38" t="s">
        <v>297</v>
      </c>
      <c r="B13" s="45" t="s">
        <v>298</v>
      </c>
      <c r="C13" s="39" t="s">
        <v>288</v>
      </c>
      <c r="D13" s="40">
        <v>4.0</v>
      </c>
      <c r="E13" s="40">
        <v>4.0</v>
      </c>
      <c r="F13" s="40">
        <v>4.0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15.75" customHeight="1">
      <c r="A14" s="38" t="s">
        <v>299</v>
      </c>
      <c r="B14" s="50" t="s">
        <v>300</v>
      </c>
      <c r="C14" s="39" t="s">
        <v>288</v>
      </c>
      <c r="D14" s="40">
        <v>4.0</v>
      </c>
      <c r="E14" s="40">
        <v>4.0</v>
      </c>
      <c r="F14" s="40">
        <v>4.0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ht="15.75" customHeight="1">
      <c r="A15" s="38" t="s">
        <v>301</v>
      </c>
      <c r="B15" s="50" t="s">
        <v>302</v>
      </c>
      <c r="C15" s="39" t="s">
        <v>288</v>
      </c>
      <c r="D15" s="40">
        <v>4.0</v>
      </c>
      <c r="E15" s="40">
        <v>4.0</v>
      </c>
      <c r="F15" s="40">
        <v>4.0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38" t="s">
        <v>303</v>
      </c>
      <c r="B16" s="45" t="s">
        <v>304</v>
      </c>
      <c r="C16" s="39" t="s">
        <v>288</v>
      </c>
      <c r="D16" s="40">
        <v>1.0</v>
      </c>
      <c r="E16" s="40">
        <v>3.0</v>
      </c>
      <c r="F16" s="40">
        <v>4.0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38" t="s">
        <v>305</v>
      </c>
      <c r="B17" s="45" t="s">
        <v>306</v>
      </c>
      <c r="C17" s="39" t="s">
        <v>288</v>
      </c>
      <c r="D17" s="40">
        <v>4.0</v>
      </c>
      <c r="E17" s="40">
        <v>4.0</v>
      </c>
      <c r="F17" s="40">
        <v>4.0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38" t="s">
        <v>307</v>
      </c>
      <c r="B18" s="50" t="s">
        <v>308</v>
      </c>
      <c r="C18" s="39" t="s">
        <v>288</v>
      </c>
      <c r="D18" s="40">
        <v>4.0</v>
      </c>
      <c r="E18" s="40">
        <v>4.0</v>
      </c>
      <c r="F18" s="40">
        <v>4.0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9" t="s">
        <v>309</v>
      </c>
      <c r="B19" s="50" t="s">
        <v>310</v>
      </c>
      <c r="C19" s="39" t="s">
        <v>288</v>
      </c>
      <c r="D19" s="10">
        <v>4.0</v>
      </c>
      <c r="E19" s="10">
        <v>4.0</v>
      </c>
      <c r="F19" s="10">
        <v>4.0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